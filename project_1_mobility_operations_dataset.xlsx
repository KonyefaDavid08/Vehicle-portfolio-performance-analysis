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3ac3b4f91e629/Desktop/Data analyst/"/>
    </mc:Choice>
  </mc:AlternateContent>
  <xr:revisionPtr revIDLastSave="0" documentId="8_{F1236777-1B74-48B2-8825-25947F13E878}" xr6:coauthVersionLast="47" xr6:coauthVersionMax="47" xr10:uidLastSave="{00000000-0000-0000-0000-000000000000}"/>
  <bookViews>
    <workbookView xWindow="-120" yWindow="-120" windowWidth="20730" windowHeight="11160" firstSheet="1" activeTab="3" xr2:uid="{38A9EB0B-A5F2-41E6-896F-A40C3398D56B}"/>
  </bookViews>
  <sheets>
    <sheet name="Sheet1" sheetId="2" r:id="rId1"/>
    <sheet name="project_1_mobility_operations_d" sheetId="1" r:id="rId2"/>
    <sheet name="Analysis" sheetId="3" r:id="rId3"/>
    <sheet name="Pivot table" sheetId="4" r:id="rId4"/>
  </sheets>
  <definedNames>
    <definedName name="_xlnm._FilterDatabase" localSheetId="1" hidden="1">project_1_mobility_operations_d!$A$1:$X$167</definedName>
  </definedNames>
  <calcPr calcId="0"/>
  <pivotCaches>
    <pivotCache cacheId="7" r:id="rId5"/>
    <pivotCache cacheId="55" r:id="rId6"/>
  </pivotCaches>
</workbook>
</file>

<file path=xl/calcChain.xml><?xml version="1.0" encoding="utf-8"?>
<calcChain xmlns="http://schemas.openxmlformats.org/spreadsheetml/2006/main">
  <c r="B8" i="3" l="1"/>
  <c r="B9" i="3"/>
  <c r="B11" i="3"/>
  <c r="H16" i="3"/>
  <c r="H14" i="3"/>
  <c r="E16" i="3"/>
  <c r="E14" i="3"/>
  <c r="B14" i="3"/>
  <c r="B16" i="3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2" i="1"/>
  <c r="B3" i="3"/>
  <c r="A3" i="3"/>
  <c r="B2" i="3"/>
  <c r="A2" i="3"/>
  <c r="B3" i="1"/>
  <c r="G3" i="1" s="1"/>
  <c r="O3" i="1" s="1"/>
  <c r="Q3" i="1" s="1"/>
  <c r="B4" i="1"/>
  <c r="G4" i="1" s="1"/>
  <c r="O4" i="1" s="1"/>
  <c r="Q4" i="1" s="1"/>
  <c r="B5" i="1"/>
  <c r="G5" i="1" s="1"/>
  <c r="O5" i="1" s="1"/>
  <c r="Q5" i="1" s="1"/>
  <c r="B6" i="1"/>
  <c r="G6" i="1" s="1"/>
  <c r="O6" i="1" s="1"/>
  <c r="Q6" i="1" s="1"/>
  <c r="B7" i="1"/>
  <c r="G7" i="1" s="1"/>
  <c r="O7" i="1" s="1"/>
  <c r="Q7" i="1" s="1"/>
  <c r="B8" i="1"/>
  <c r="G8" i="1" s="1"/>
  <c r="O8" i="1" s="1"/>
  <c r="Q8" i="1" s="1"/>
  <c r="B9" i="1"/>
  <c r="G9" i="1" s="1"/>
  <c r="O9" i="1" s="1"/>
  <c r="Q9" i="1" s="1"/>
  <c r="B10" i="1"/>
  <c r="G10" i="1" s="1"/>
  <c r="O10" i="1" s="1"/>
  <c r="Q10" i="1" s="1"/>
  <c r="B11" i="1"/>
  <c r="G11" i="1" s="1"/>
  <c r="O11" i="1" s="1"/>
  <c r="Q11" i="1" s="1"/>
  <c r="B12" i="1"/>
  <c r="G12" i="1" s="1"/>
  <c r="O12" i="1" s="1"/>
  <c r="Q12" i="1" s="1"/>
  <c r="B13" i="1"/>
  <c r="G13" i="1" s="1"/>
  <c r="O13" i="1" s="1"/>
  <c r="Q13" i="1" s="1"/>
  <c r="B14" i="1"/>
  <c r="G14" i="1" s="1"/>
  <c r="O14" i="1" s="1"/>
  <c r="Q14" i="1" s="1"/>
  <c r="B15" i="1"/>
  <c r="G15" i="1" s="1"/>
  <c r="O15" i="1" s="1"/>
  <c r="Q15" i="1" s="1"/>
  <c r="B16" i="1"/>
  <c r="G16" i="1" s="1"/>
  <c r="O16" i="1" s="1"/>
  <c r="Q16" i="1" s="1"/>
  <c r="B17" i="1"/>
  <c r="G17" i="1" s="1"/>
  <c r="O17" i="1" s="1"/>
  <c r="Q17" i="1" s="1"/>
  <c r="B18" i="1"/>
  <c r="G18" i="1" s="1"/>
  <c r="O18" i="1" s="1"/>
  <c r="Q18" i="1" s="1"/>
  <c r="B19" i="1"/>
  <c r="G19" i="1" s="1"/>
  <c r="O19" i="1" s="1"/>
  <c r="Q19" i="1" s="1"/>
  <c r="B20" i="1"/>
  <c r="G20" i="1" s="1"/>
  <c r="O20" i="1" s="1"/>
  <c r="Q20" i="1" s="1"/>
  <c r="B21" i="1"/>
  <c r="G21" i="1" s="1"/>
  <c r="O21" i="1" s="1"/>
  <c r="Q21" i="1" s="1"/>
  <c r="B22" i="1"/>
  <c r="G22" i="1" s="1"/>
  <c r="O22" i="1" s="1"/>
  <c r="Q22" i="1" s="1"/>
  <c r="B23" i="1"/>
  <c r="G23" i="1" s="1"/>
  <c r="O23" i="1" s="1"/>
  <c r="Q23" i="1" s="1"/>
  <c r="B24" i="1"/>
  <c r="G24" i="1" s="1"/>
  <c r="O24" i="1" s="1"/>
  <c r="Q24" i="1" s="1"/>
  <c r="B25" i="1"/>
  <c r="G25" i="1" s="1"/>
  <c r="O25" i="1" s="1"/>
  <c r="Q25" i="1" s="1"/>
  <c r="B26" i="1"/>
  <c r="G26" i="1" s="1"/>
  <c r="O26" i="1" s="1"/>
  <c r="Q26" i="1" s="1"/>
  <c r="B27" i="1"/>
  <c r="G27" i="1" s="1"/>
  <c r="O27" i="1" s="1"/>
  <c r="Q27" i="1" s="1"/>
  <c r="B28" i="1"/>
  <c r="G28" i="1" s="1"/>
  <c r="O28" i="1" s="1"/>
  <c r="Q28" i="1" s="1"/>
  <c r="B29" i="1"/>
  <c r="G29" i="1" s="1"/>
  <c r="O29" i="1" s="1"/>
  <c r="Q29" i="1" s="1"/>
  <c r="B30" i="1"/>
  <c r="G30" i="1" s="1"/>
  <c r="O30" i="1" s="1"/>
  <c r="Q30" i="1" s="1"/>
  <c r="B31" i="1"/>
  <c r="G31" i="1" s="1"/>
  <c r="O31" i="1" s="1"/>
  <c r="Q31" i="1" s="1"/>
  <c r="B32" i="1"/>
  <c r="G32" i="1" s="1"/>
  <c r="O32" i="1" s="1"/>
  <c r="Q32" i="1" s="1"/>
  <c r="B33" i="1"/>
  <c r="G33" i="1" s="1"/>
  <c r="O33" i="1" s="1"/>
  <c r="Q33" i="1" s="1"/>
  <c r="B34" i="1"/>
  <c r="G34" i="1" s="1"/>
  <c r="O34" i="1" s="1"/>
  <c r="Q34" i="1" s="1"/>
  <c r="B35" i="1"/>
  <c r="G35" i="1" s="1"/>
  <c r="O35" i="1" s="1"/>
  <c r="Q35" i="1" s="1"/>
  <c r="B36" i="1"/>
  <c r="G36" i="1" s="1"/>
  <c r="O36" i="1" s="1"/>
  <c r="Q36" i="1" s="1"/>
  <c r="B37" i="1"/>
  <c r="G37" i="1" s="1"/>
  <c r="O37" i="1" s="1"/>
  <c r="Q37" i="1" s="1"/>
  <c r="B38" i="1"/>
  <c r="G38" i="1" s="1"/>
  <c r="O38" i="1" s="1"/>
  <c r="Q38" i="1" s="1"/>
  <c r="B39" i="1"/>
  <c r="G39" i="1" s="1"/>
  <c r="O39" i="1" s="1"/>
  <c r="Q39" i="1" s="1"/>
  <c r="B40" i="1"/>
  <c r="G40" i="1" s="1"/>
  <c r="O40" i="1" s="1"/>
  <c r="Q40" i="1" s="1"/>
  <c r="B41" i="1"/>
  <c r="G41" i="1" s="1"/>
  <c r="O41" i="1" s="1"/>
  <c r="Q41" i="1" s="1"/>
  <c r="B42" i="1"/>
  <c r="G42" i="1" s="1"/>
  <c r="O42" i="1" s="1"/>
  <c r="Q42" i="1" s="1"/>
  <c r="B43" i="1"/>
  <c r="G43" i="1" s="1"/>
  <c r="O43" i="1" s="1"/>
  <c r="Q43" i="1" s="1"/>
  <c r="B44" i="1"/>
  <c r="G44" i="1" s="1"/>
  <c r="O44" i="1" s="1"/>
  <c r="Q44" i="1" s="1"/>
  <c r="B45" i="1"/>
  <c r="G45" i="1" s="1"/>
  <c r="O45" i="1" s="1"/>
  <c r="Q45" i="1" s="1"/>
  <c r="B46" i="1"/>
  <c r="G46" i="1" s="1"/>
  <c r="O46" i="1" s="1"/>
  <c r="Q46" i="1" s="1"/>
  <c r="B47" i="1"/>
  <c r="G47" i="1" s="1"/>
  <c r="O47" i="1" s="1"/>
  <c r="Q47" i="1" s="1"/>
  <c r="B48" i="1"/>
  <c r="G48" i="1" s="1"/>
  <c r="O48" i="1" s="1"/>
  <c r="Q48" i="1" s="1"/>
  <c r="B49" i="1"/>
  <c r="G49" i="1" s="1"/>
  <c r="O49" i="1" s="1"/>
  <c r="Q49" i="1" s="1"/>
  <c r="B50" i="1"/>
  <c r="G50" i="1" s="1"/>
  <c r="O50" i="1" s="1"/>
  <c r="Q50" i="1" s="1"/>
  <c r="B51" i="1"/>
  <c r="G51" i="1" s="1"/>
  <c r="O51" i="1" s="1"/>
  <c r="Q51" i="1" s="1"/>
  <c r="B52" i="1"/>
  <c r="G52" i="1" s="1"/>
  <c r="O52" i="1" s="1"/>
  <c r="Q52" i="1" s="1"/>
  <c r="B53" i="1"/>
  <c r="G53" i="1" s="1"/>
  <c r="O53" i="1" s="1"/>
  <c r="Q53" i="1" s="1"/>
  <c r="B54" i="1"/>
  <c r="G54" i="1" s="1"/>
  <c r="O54" i="1" s="1"/>
  <c r="Q54" i="1" s="1"/>
  <c r="B55" i="1"/>
  <c r="G55" i="1" s="1"/>
  <c r="O55" i="1" s="1"/>
  <c r="Q55" i="1" s="1"/>
  <c r="B56" i="1"/>
  <c r="G56" i="1" s="1"/>
  <c r="O56" i="1" s="1"/>
  <c r="Q56" i="1" s="1"/>
  <c r="B57" i="1"/>
  <c r="G57" i="1" s="1"/>
  <c r="O57" i="1" s="1"/>
  <c r="Q57" i="1" s="1"/>
  <c r="B58" i="1"/>
  <c r="G58" i="1" s="1"/>
  <c r="O58" i="1" s="1"/>
  <c r="Q58" i="1" s="1"/>
  <c r="B59" i="1"/>
  <c r="G59" i="1" s="1"/>
  <c r="O59" i="1" s="1"/>
  <c r="Q59" i="1" s="1"/>
  <c r="B60" i="1"/>
  <c r="G60" i="1" s="1"/>
  <c r="O60" i="1" s="1"/>
  <c r="Q60" i="1" s="1"/>
  <c r="B61" i="1"/>
  <c r="G61" i="1" s="1"/>
  <c r="O61" i="1" s="1"/>
  <c r="Q61" i="1" s="1"/>
  <c r="B62" i="1"/>
  <c r="G62" i="1" s="1"/>
  <c r="O62" i="1" s="1"/>
  <c r="Q62" i="1" s="1"/>
  <c r="B63" i="1"/>
  <c r="G63" i="1" s="1"/>
  <c r="O63" i="1" s="1"/>
  <c r="Q63" i="1" s="1"/>
  <c r="B64" i="1"/>
  <c r="G64" i="1" s="1"/>
  <c r="O64" i="1" s="1"/>
  <c r="Q64" i="1" s="1"/>
  <c r="B65" i="1"/>
  <c r="G65" i="1" s="1"/>
  <c r="O65" i="1" s="1"/>
  <c r="Q65" i="1" s="1"/>
  <c r="B66" i="1"/>
  <c r="G66" i="1" s="1"/>
  <c r="O66" i="1" s="1"/>
  <c r="Q66" i="1" s="1"/>
  <c r="B67" i="1"/>
  <c r="G67" i="1" s="1"/>
  <c r="O67" i="1" s="1"/>
  <c r="Q67" i="1" s="1"/>
  <c r="B68" i="1"/>
  <c r="G68" i="1" s="1"/>
  <c r="O68" i="1" s="1"/>
  <c r="Q68" i="1" s="1"/>
  <c r="B69" i="1"/>
  <c r="G69" i="1" s="1"/>
  <c r="O69" i="1" s="1"/>
  <c r="Q69" i="1" s="1"/>
  <c r="B70" i="1"/>
  <c r="G70" i="1" s="1"/>
  <c r="O70" i="1" s="1"/>
  <c r="Q70" i="1" s="1"/>
  <c r="B71" i="1"/>
  <c r="G71" i="1" s="1"/>
  <c r="O71" i="1" s="1"/>
  <c r="Q71" i="1" s="1"/>
  <c r="B72" i="1"/>
  <c r="G72" i="1" s="1"/>
  <c r="O72" i="1" s="1"/>
  <c r="Q72" i="1" s="1"/>
  <c r="B73" i="1"/>
  <c r="G73" i="1" s="1"/>
  <c r="O73" i="1" s="1"/>
  <c r="Q73" i="1" s="1"/>
  <c r="B74" i="1"/>
  <c r="G74" i="1" s="1"/>
  <c r="O74" i="1" s="1"/>
  <c r="Q74" i="1" s="1"/>
  <c r="B75" i="1"/>
  <c r="G75" i="1" s="1"/>
  <c r="O75" i="1" s="1"/>
  <c r="Q75" i="1" s="1"/>
  <c r="B76" i="1"/>
  <c r="G76" i="1" s="1"/>
  <c r="O76" i="1" s="1"/>
  <c r="Q76" i="1" s="1"/>
  <c r="B77" i="1"/>
  <c r="G77" i="1" s="1"/>
  <c r="O77" i="1" s="1"/>
  <c r="Q77" i="1" s="1"/>
  <c r="B78" i="1"/>
  <c r="G78" i="1" s="1"/>
  <c r="O78" i="1" s="1"/>
  <c r="Q78" i="1" s="1"/>
  <c r="B79" i="1"/>
  <c r="G79" i="1" s="1"/>
  <c r="O79" i="1" s="1"/>
  <c r="Q79" i="1" s="1"/>
  <c r="B80" i="1"/>
  <c r="G80" i="1" s="1"/>
  <c r="O80" i="1" s="1"/>
  <c r="Q80" i="1" s="1"/>
  <c r="B81" i="1"/>
  <c r="G81" i="1" s="1"/>
  <c r="O81" i="1" s="1"/>
  <c r="Q81" i="1" s="1"/>
  <c r="B82" i="1"/>
  <c r="G82" i="1" s="1"/>
  <c r="O82" i="1" s="1"/>
  <c r="Q82" i="1" s="1"/>
  <c r="B83" i="1"/>
  <c r="G83" i="1" s="1"/>
  <c r="O83" i="1" s="1"/>
  <c r="Q83" i="1" s="1"/>
  <c r="B84" i="1"/>
  <c r="G84" i="1" s="1"/>
  <c r="O84" i="1" s="1"/>
  <c r="Q84" i="1" s="1"/>
  <c r="B85" i="1"/>
  <c r="G85" i="1" s="1"/>
  <c r="O85" i="1" s="1"/>
  <c r="Q85" i="1" s="1"/>
  <c r="B86" i="1"/>
  <c r="G86" i="1" s="1"/>
  <c r="O86" i="1" s="1"/>
  <c r="Q86" i="1" s="1"/>
  <c r="B87" i="1"/>
  <c r="G87" i="1" s="1"/>
  <c r="O87" i="1" s="1"/>
  <c r="Q87" i="1" s="1"/>
  <c r="B88" i="1"/>
  <c r="G88" i="1" s="1"/>
  <c r="O88" i="1" s="1"/>
  <c r="Q88" i="1" s="1"/>
  <c r="B89" i="1"/>
  <c r="G89" i="1" s="1"/>
  <c r="O89" i="1" s="1"/>
  <c r="Q89" i="1" s="1"/>
  <c r="B90" i="1"/>
  <c r="G90" i="1" s="1"/>
  <c r="O90" i="1" s="1"/>
  <c r="Q90" i="1" s="1"/>
  <c r="B91" i="1"/>
  <c r="G91" i="1" s="1"/>
  <c r="O91" i="1" s="1"/>
  <c r="Q91" i="1" s="1"/>
  <c r="B92" i="1"/>
  <c r="G92" i="1" s="1"/>
  <c r="O92" i="1" s="1"/>
  <c r="Q92" i="1" s="1"/>
  <c r="B93" i="1"/>
  <c r="G93" i="1" s="1"/>
  <c r="O93" i="1" s="1"/>
  <c r="Q93" i="1" s="1"/>
  <c r="B94" i="1"/>
  <c r="G94" i="1" s="1"/>
  <c r="O94" i="1" s="1"/>
  <c r="Q94" i="1" s="1"/>
  <c r="B95" i="1"/>
  <c r="G95" i="1" s="1"/>
  <c r="O95" i="1" s="1"/>
  <c r="Q95" i="1" s="1"/>
  <c r="B96" i="1"/>
  <c r="G96" i="1" s="1"/>
  <c r="O96" i="1" s="1"/>
  <c r="Q96" i="1" s="1"/>
  <c r="B97" i="1"/>
  <c r="G97" i="1" s="1"/>
  <c r="O97" i="1" s="1"/>
  <c r="Q97" i="1" s="1"/>
  <c r="B98" i="1"/>
  <c r="G98" i="1" s="1"/>
  <c r="O98" i="1" s="1"/>
  <c r="Q98" i="1" s="1"/>
  <c r="B99" i="1"/>
  <c r="G99" i="1" s="1"/>
  <c r="O99" i="1" s="1"/>
  <c r="Q99" i="1" s="1"/>
  <c r="B100" i="1"/>
  <c r="G100" i="1" s="1"/>
  <c r="O100" i="1" s="1"/>
  <c r="Q100" i="1" s="1"/>
  <c r="B101" i="1"/>
  <c r="G101" i="1" s="1"/>
  <c r="O101" i="1" s="1"/>
  <c r="Q101" i="1" s="1"/>
  <c r="B102" i="1"/>
  <c r="G102" i="1" s="1"/>
  <c r="O102" i="1" s="1"/>
  <c r="Q102" i="1" s="1"/>
  <c r="B103" i="1"/>
  <c r="G103" i="1" s="1"/>
  <c r="O103" i="1" s="1"/>
  <c r="Q103" i="1" s="1"/>
  <c r="B104" i="1"/>
  <c r="G104" i="1" s="1"/>
  <c r="O104" i="1" s="1"/>
  <c r="Q104" i="1" s="1"/>
  <c r="B105" i="1"/>
  <c r="G105" i="1" s="1"/>
  <c r="O105" i="1" s="1"/>
  <c r="Q105" i="1" s="1"/>
  <c r="B106" i="1"/>
  <c r="G106" i="1" s="1"/>
  <c r="O106" i="1" s="1"/>
  <c r="Q106" i="1" s="1"/>
  <c r="B107" i="1"/>
  <c r="G107" i="1" s="1"/>
  <c r="O107" i="1" s="1"/>
  <c r="Q107" i="1" s="1"/>
  <c r="B108" i="1"/>
  <c r="G108" i="1" s="1"/>
  <c r="O108" i="1" s="1"/>
  <c r="Q108" i="1" s="1"/>
  <c r="B109" i="1"/>
  <c r="G109" i="1" s="1"/>
  <c r="O109" i="1" s="1"/>
  <c r="Q109" i="1" s="1"/>
  <c r="B110" i="1"/>
  <c r="G110" i="1" s="1"/>
  <c r="O110" i="1" s="1"/>
  <c r="Q110" i="1" s="1"/>
  <c r="B111" i="1"/>
  <c r="G111" i="1" s="1"/>
  <c r="O111" i="1" s="1"/>
  <c r="Q111" i="1" s="1"/>
  <c r="B112" i="1"/>
  <c r="G112" i="1" s="1"/>
  <c r="O112" i="1" s="1"/>
  <c r="Q112" i="1" s="1"/>
  <c r="B113" i="1"/>
  <c r="G113" i="1" s="1"/>
  <c r="O113" i="1" s="1"/>
  <c r="Q113" i="1" s="1"/>
  <c r="B114" i="1"/>
  <c r="G114" i="1" s="1"/>
  <c r="O114" i="1" s="1"/>
  <c r="Q114" i="1" s="1"/>
  <c r="B115" i="1"/>
  <c r="G115" i="1" s="1"/>
  <c r="O115" i="1" s="1"/>
  <c r="Q115" i="1" s="1"/>
  <c r="B116" i="1"/>
  <c r="G116" i="1" s="1"/>
  <c r="O116" i="1" s="1"/>
  <c r="Q116" i="1" s="1"/>
  <c r="B117" i="1"/>
  <c r="G117" i="1" s="1"/>
  <c r="O117" i="1" s="1"/>
  <c r="Q117" i="1" s="1"/>
  <c r="B118" i="1"/>
  <c r="G118" i="1" s="1"/>
  <c r="O118" i="1" s="1"/>
  <c r="Q118" i="1" s="1"/>
  <c r="B119" i="1"/>
  <c r="G119" i="1" s="1"/>
  <c r="O119" i="1" s="1"/>
  <c r="Q119" i="1" s="1"/>
  <c r="B120" i="1"/>
  <c r="G120" i="1" s="1"/>
  <c r="O120" i="1" s="1"/>
  <c r="Q120" i="1" s="1"/>
  <c r="B121" i="1"/>
  <c r="G121" i="1" s="1"/>
  <c r="O121" i="1" s="1"/>
  <c r="Q121" i="1" s="1"/>
  <c r="B122" i="1"/>
  <c r="G122" i="1" s="1"/>
  <c r="O122" i="1" s="1"/>
  <c r="Q122" i="1" s="1"/>
  <c r="B123" i="1"/>
  <c r="G123" i="1" s="1"/>
  <c r="O123" i="1" s="1"/>
  <c r="Q123" i="1" s="1"/>
  <c r="B124" i="1"/>
  <c r="G124" i="1" s="1"/>
  <c r="O124" i="1" s="1"/>
  <c r="Q124" i="1" s="1"/>
  <c r="B125" i="1"/>
  <c r="G125" i="1" s="1"/>
  <c r="O125" i="1" s="1"/>
  <c r="V125" i="1" s="1"/>
  <c r="B126" i="1"/>
  <c r="G126" i="1" s="1"/>
  <c r="O126" i="1" s="1"/>
  <c r="Q126" i="1" s="1"/>
  <c r="B127" i="1"/>
  <c r="G127" i="1" s="1"/>
  <c r="O127" i="1" s="1"/>
  <c r="Q127" i="1" s="1"/>
  <c r="B128" i="1"/>
  <c r="G128" i="1" s="1"/>
  <c r="O128" i="1" s="1"/>
  <c r="Q128" i="1" s="1"/>
  <c r="B129" i="1"/>
  <c r="G129" i="1" s="1"/>
  <c r="O129" i="1" s="1"/>
  <c r="Q129" i="1" s="1"/>
  <c r="B130" i="1"/>
  <c r="G130" i="1" s="1"/>
  <c r="O130" i="1" s="1"/>
  <c r="Q130" i="1" s="1"/>
  <c r="B131" i="1"/>
  <c r="G131" i="1" s="1"/>
  <c r="O131" i="1" s="1"/>
  <c r="Q131" i="1" s="1"/>
  <c r="B132" i="1"/>
  <c r="G132" i="1" s="1"/>
  <c r="O132" i="1" s="1"/>
  <c r="Q132" i="1" s="1"/>
  <c r="B133" i="1"/>
  <c r="G133" i="1" s="1"/>
  <c r="O133" i="1" s="1"/>
  <c r="Q133" i="1" s="1"/>
  <c r="B134" i="1"/>
  <c r="G134" i="1" s="1"/>
  <c r="O134" i="1" s="1"/>
  <c r="Q134" i="1" s="1"/>
  <c r="B135" i="1"/>
  <c r="G135" i="1" s="1"/>
  <c r="O135" i="1" s="1"/>
  <c r="Q135" i="1" s="1"/>
  <c r="B136" i="1"/>
  <c r="G136" i="1" s="1"/>
  <c r="O136" i="1" s="1"/>
  <c r="Q136" i="1" s="1"/>
  <c r="B137" i="1"/>
  <c r="G137" i="1" s="1"/>
  <c r="O137" i="1" s="1"/>
  <c r="Q137" i="1" s="1"/>
  <c r="B138" i="1"/>
  <c r="G138" i="1" s="1"/>
  <c r="O138" i="1" s="1"/>
  <c r="Q138" i="1" s="1"/>
  <c r="B139" i="1"/>
  <c r="G139" i="1" s="1"/>
  <c r="O139" i="1" s="1"/>
  <c r="Q139" i="1" s="1"/>
  <c r="B140" i="1"/>
  <c r="G140" i="1" s="1"/>
  <c r="O140" i="1" s="1"/>
  <c r="Q140" i="1" s="1"/>
  <c r="B141" i="1"/>
  <c r="G141" i="1" s="1"/>
  <c r="O141" i="1" s="1"/>
  <c r="Q141" i="1" s="1"/>
  <c r="B142" i="1"/>
  <c r="G142" i="1" s="1"/>
  <c r="O142" i="1" s="1"/>
  <c r="Q142" i="1" s="1"/>
  <c r="B143" i="1"/>
  <c r="G143" i="1" s="1"/>
  <c r="O143" i="1" s="1"/>
  <c r="Q143" i="1" s="1"/>
  <c r="B144" i="1"/>
  <c r="G144" i="1" s="1"/>
  <c r="O144" i="1" s="1"/>
  <c r="Q144" i="1" s="1"/>
  <c r="B145" i="1"/>
  <c r="G145" i="1" s="1"/>
  <c r="O145" i="1" s="1"/>
  <c r="Q145" i="1" s="1"/>
  <c r="B146" i="1"/>
  <c r="G146" i="1" s="1"/>
  <c r="O146" i="1" s="1"/>
  <c r="Q146" i="1" s="1"/>
  <c r="B147" i="1"/>
  <c r="G147" i="1" s="1"/>
  <c r="O147" i="1" s="1"/>
  <c r="Q147" i="1" s="1"/>
  <c r="B148" i="1"/>
  <c r="G148" i="1" s="1"/>
  <c r="O148" i="1" s="1"/>
  <c r="Q148" i="1" s="1"/>
  <c r="B149" i="1"/>
  <c r="G149" i="1" s="1"/>
  <c r="O149" i="1" s="1"/>
  <c r="Q149" i="1" s="1"/>
  <c r="B150" i="1"/>
  <c r="G150" i="1" s="1"/>
  <c r="O150" i="1" s="1"/>
  <c r="Q150" i="1" s="1"/>
  <c r="G151" i="1"/>
  <c r="O151" i="1" s="1"/>
  <c r="Q151" i="1" s="1"/>
  <c r="B2" i="1"/>
  <c r="G2" i="1" s="1"/>
  <c r="O2" i="1" s="1"/>
  <c r="Q2" i="1" s="1"/>
  <c r="E3" i="1"/>
  <c r="U3" i="1" s="1"/>
  <c r="E4" i="1"/>
  <c r="U4" i="1" s="1"/>
  <c r="E5" i="1"/>
  <c r="U5" i="1" s="1"/>
  <c r="E6" i="1"/>
  <c r="U6" i="1" s="1"/>
  <c r="E7" i="1"/>
  <c r="U7" i="1" s="1"/>
  <c r="E8" i="1"/>
  <c r="U8" i="1" s="1"/>
  <c r="E9" i="1"/>
  <c r="U9" i="1" s="1"/>
  <c r="E10" i="1"/>
  <c r="U10" i="1" s="1"/>
  <c r="E11" i="1"/>
  <c r="U11" i="1" s="1"/>
  <c r="E12" i="1"/>
  <c r="U12" i="1" s="1"/>
  <c r="E13" i="1"/>
  <c r="U13" i="1" s="1"/>
  <c r="E14" i="1"/>
  <c r="U14" i="1" s="1"/>
  <c r="E15" i="1"/>
  <c r="U15" i="1" s="1"/>
  <c r="E16" i="1"/>
  <c r="U16" i="1" s="1"/>
  <c r="E17" i="1"/>
  <c r="U17" i="1" s="1"/>
  <c r="E18" i="1"/>
  <c r="U18" i="1" s="1"/>
  <c r="E19" i="1"/>
  <c r="U19" i="1" s="1"/>
  <c r="E20" i="1"/>
  <c r="U20" i="1" s="1"/>
  <c r="E21" i="1"/>
  <c r="U21" i="1" s="1"/>
  <c r="E22" i="1"/>
  <c r="U22" i="1" s="1"/>
  <c r="E23" i="1"/>
  <c r="U23" i="1" s="1"/>
  <c r="E24" i="1"/>
  <c r="U24" i="1" s="1"/>
  <c r="E25" i="1"/>
  <c r="U25" i="1" s="1"/>
  <c r="E26" i="1"/>
  <c r="U26" i="1" s="1"/>
  <c r="E27" i="1"/>
  <c r="U27" i="1" s="1"/>
  <c r="E28" i="1"/>
  <c r="U28" i="1" s="1"/>
  <c r="E29" i="1"/>
  <c r="U29" i="1" s="1"/>
  <c r="E30" i="1"/>
  <c r="U30" i="1" s="1"/>
  <c r="E31" i="1"/>
  <c r="U31" i="1" s="1"/>
  <c r="E32" i="1"/>
  <c r="U32" i="1" s="1"/>
  <c r="E33" i="1"/>
  <c r="U33" i="1" s="1"/>
  <c r="E34" i="1"/>
  <c r="U34" i="1" s="1"/>
  <c r="E35" i="1"/>
  <c r="U35" i="1" s="1"/>
  <c r="E36" i="1"/>
  <c r="U36" i="1" s="1"/>
  <c r="E37" i="1"/>
  <c r="U37" i="1" s="1"/>
  <c r="E38" i="1"/>
  <c r="U38" i="1" s="1"/>
  <c r="E39" i="1"/>
  <c r="U39" i="1" s="1"/>
  <c r="E40" i="1"/>
  <c r="U40" i="1" s="1"/>
  <c r="E41" i="1"/>
  <c r="U41" i="1" s="1"/>
  <c r="E42" i="1"/>
  <c r="U42" i="1" s="1"/>
  <c r="E43" i="1"/>
  <c r="U43" i="1" s="1"/>
  <c r="E44" i="1"/>
  <c r="U44" i="1" s="1"/>
  <c r="E45" i="1"/>
  <c r="U45" i="1" s="1"/>
  <c r="E46" i="1"/>
  <c r="U46" i="1" s="1"/>
  <c r="E47" i="1"/>
  <c r="U47" i="1" s="1"/>
  <c r="E48" i="1"/>
  <c r="U48" i="1" s="1"/>
  <c r="E49" i="1"/>
  <c r="U49" i="1" s="1"/>
  <c r="E50" i="1"/>
  <c r="U50" i="1" s="1"/>
  <c r="E51" i="1"/>
  <c r="U51" i="1" s="1"/>
  <c r="E52" i="1"/>
  <c r="U52" i="1" s="1"/>
  <c r="E53" i="1"/>
  <c r="U53" i="1" s="1"/>
  <c r="E54" i="1"/>
  <c r="U54" i="1" s="1"/>
  <c r="E55" i="1"/>
  <c r="U55" i="1" s="1"/>
  <c r="E56" i="1"/>
  <c r="U56" i="1" s="1"/>
  <c r="E57" i="1"/>
  <c r="U57" i="1" s="1"/>
  <c r="E58" i="1"/>
  <c r="U58" i="1" s="1"/>
  <c r="E59" i="1"/>
  <c r="U59" i="1" s="1"/>
  <c r="E60" i="1"/>
  <c r="U60" i="1" s="1"/>
  <c r="E61" i="1"/>
  <c r="U61" i="1" s="1"/>
  <c r="E62" i="1"/>
  <c r="U62" i="1" s="1"/>
  <c r="E63" i="1"/>
  <c r="U63" i="1" s="1"/>
  <c r="E64" i="1"/>
  <c r="U64" i="1" s="1"/>
  <c r="E65" i="1"/>
  <c r="U65" i="1" s="1"/>
  <c r="E66" i="1"/>
  <c r="U66" i="1" s="1"/>
  <c r="E67" i="1"/>
  <c r="U67" i="1" s="1"/>
  <c r="E68" i="1"/>
  <c r="U68" i="1" s="1"/>
  <c r="E69" i="1"/>
  <c r="U69" i="1" s="1"/>
  <c r="E70" i="1"/>
  <c r="U70" i="1" s="1"/>
  <c r="E71" i="1"/>
  <c r="U71" i="1" s="1"/>
  <c r="E72" i="1"/>
  <c r="U72" i="1" s="1"/>
  <c r="E73" i="1"/>
  <c r="U73" i="1" s="1"/>
  <c r="E74" i="1"/>
  <c r="U74" i="1" s="1"/>
  <c r="E75" i="1"/>
  <c r="U75" i="1" s="1"/>
  <c r="E76" i="1"/>
  <c r="U76" i="1" s="1"/>
  <c r="E77" i="1"/>
  <c r="U77" i="1" s="1"/>
  <c r="E78" i="1"/>
  <c r="U78" i="1" s="1"/>
  <c r="E79" i="1"/>
  <c r="U79" i="1" s="1"/>
  <c r="E80" i="1"/>
  <c r="U80" i="1" s="1"/>
  <c r="E81" i="1"/>
  <c r="U81" i="1" s="1"/>
  <c r="E82" i="1"/>
  <c r="U82" i="1" s="1"/>
  <c r="E83" i="1"/>
  <c r="U83" i="1" s="1"/>
  <c r="E84" i="1"/>
  <c r="U84" i="1" s="1"/>
  <c r="E85" i="1"/>
  <c r="U85" i="1" s="1"/>
  <c r="E86" i="1"/>
  <c r="U86" i="1" s="1"/>
  <c r="E87" i="1"/>
  <c r="U87" i="1" s="1"/>
  <c r="E88" i="1"/>
  <c r="U88" i="1" s="1"/>
  <c r="E89" i="1"/>
  <c r="U89" i="1" s="1"/>
  <c r="E90" i="1"/>
  <c r="U90" i="1" s="1"/>
  <c r="E91" i="1"/>
  <c r="U91" i="1" s="1"/>
  <c r="E92" i="1"/>
  <c r="U92" i="1" s="1"/>
  <c r="E93" i="1"/>
  <c r="U93" i="1" s="1"/>
  <c r="E94" i="1"/>
  <c r="U94" i="1" s="1"/>
  <c r="E95" i="1"/>
  <c r="U95" i="1" s="1"/>
  <c r="E96" i="1"/>
  <c r="U96" i="1" s="1"/>
  <c r="E97" i="1"/>
  <c r="U97" i="1" s="1"/>
  <c r="E98" i="1"/>
  <c r="U98" i="1" s="1"/>
  <c r="E99" i="1"/>
  <c r="U99" i="1" s="1"/>
  <c r="E100" i="1"/>
  <c r="U100" i="1" s="1"/>
  <c r="E101" i="1"/>
  <c r="U101" i="1" s="1"/>
  <c r="E102" i="1"/>
  <c r="U102" i="1" s="1"/>
  <c r="E103" i="1"/>
  <c r="U103" i="1" s="1"/>
  <c r="E104" i="1"/>
  <c r="U104" i="1" s="1"/>
  <c r="E105" i="1"/>
  <c r="U105" i="1" s="1"/>
  <c r="E106" i="1"/>
  <c r="U106" i="1" s="1"/>
  <c r="E107" i="1"/>
  <c r="U107" i="1" s="1"/>
  <c r="E108" i="1"/>
  <c r="U108" i="1" s="1"/>
  <c r="E109" i="1"/>
  <c r="U109" i="1" s="1"/>
  <c r="E110" i="1"/>
  <c r="U110" i="1" s="1"/>
  <c r="E111" i="1"/>
  <c r="U111" i="1" s="1"/>
  <c r="E112" i="1"/>
  <c r="U112" i="1" s="1"/>
  <c r="E113" i="1"/>
  <c r="U113" i="1" s="1"/>
  <c r="E114" i="1"/>
  <c r="U114" i="1" s="1"/>
  <c r="E115" i="1"/>
  <c r="U115" i="1" s="1"/>
  <c r="E116" i="1"/>
  <c r="U116" i="1" s="1"/>
  <c r="E117" i="1"/>
  <c r="U117" i="1" s="1"/>
  <c r="E118" i="1"/>
  <c r="U118" i="1" s="1"/>
  <c r="E119" i="1"/>
  <c r="U119" i="1" s="1"/>
  <c r="E120" i="1"/>
  <c r="U120" i="1" s="1"/>
  <c r="E121" i="1"/>
  <c r="U121" i="1" s="1"/>
  <c r="E122" i="1"/>
  <c r="U122" i="1" s="1"/>
  <c r="E123" i="1"/>
  <c r="U123" i="1" s="1"/>
  <c r="E124" i="1"/>
  <c r="U124" i="1" s="1"/>
  <c r="E125" i="1"/>
  <c r="U125" i="1" s="1"/>
  <c r="E126" i="1"/>
  <c r="U126" i="1" s="1"/>
  <c r="E127" i="1"/>
  <c r="U127" i="1" s="1"/>
  <c r="E128" i="1"/>
  <c r="U128" i="1" s="1"/>
  <c r="E129" i="1"/>
  <c r="U129" i="1" s="1"/>
  <c r="E130" i="1"/>
  <c r="U130" i="1" s="1"/>
  <c r="E131" i="1"/>
  <c r="U131" i="1" s="1"/>
  <c r="E132" i="1"/>
  <c r="U132" i="1" s="1"/>
  <c r="E133" i="1"/>
  <c r="U133" i="1" s="1"/>
  <c r="E134" i="1"/>
  <c r="U134" i="1" s="1"/>
  <c r="E135" i="1"/>
  <c r="U135" i="1" s="1"/>
  <c r="E136" i="1"/>
  <c r="U136" i="1" s="1"/>
  <c r="E137" i="1"/>
  <c r="U137" i="1" s="1"/>
  <c r="E138" i="1"/>
  <c r="U138" i="1" s="1"/>
  <c r="E139" i="1"/>
  <c r="U139" i="1" s="1"/>
  <c r="E140" i="1"/>
  <c r="U140" i="1" s="1"/>
  <c r="E141" i="1"/>
  <c r="U141" i="1" s="1"/>
  <c r="E142" i="1"/>
  <c r="U142" i="1" s="1"/>
  <c r="E143" i="1"/>
  <c r="U143" i="1" s="1"/>
  <c r="E144" i="1"/>
  <c r="U144" i="1" s="1"/>
  <c r="E145" i="1"/>
  <c r="U145" i="1" s="1"/>
  <c r="E146" i="1"/>
  <c r="U146" i="1" s="1"/>
  <c r="E147" i="1"/>
  <c r="U147" i="1" s="1"/>
  <c r="E148" i="1"/>
  <c r="U148" i="1" s="1"/>
  <c r="E149" i="1"/>
  <c r="U149" i="1" s="1"/>
  <c r="E150" i="1"/>
  <c r="U150" i="1" s="1"/>
  <c r="E151" i="1"/>
  <c r="U151" i="1" s="1"/>
  <c r="E2" i="1"/>
  <c r="U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2" i="1"/>
  <c r="E19" i="3" l="1"/>
  <c r="H19" i="3"/>
  <c r="Q125" i="1"/>
  <c r="H17" i="3"/>
  <c r="H15" i="3"/>
  <c r="H18" i="3" s="1"/>
  <c r="B19" i="3"/>
  <c r="E17" i="3"/>
  <c r="E15" i="3"/>
  <c r="E18" i="3" s="1"/>
  <c r="B7" i="3"/>
  <c r="B17" i="3"/>
  <c r="B15" i="3"/>
  <c r="B18" i="3" s="1"/>
  <c r="T142" i="1"/>
  <c r="T110" i="1"/>
  <c r="T62" i="1"/>
  <c r="T30" i="1"/>
  <c r="T151" i="1"/>
  <c r="T138" i="1"/>
  <c r="W138" i="1" s="1"/>
  <c r="T122" i="1"/>
  <c r="T106" i="1"/>
  <c r="T90" i="1"/>
  <c r="T74" i="1"/>
  <c r="W74" i="1" s="1"/>
  <c r="T58" i="1"/>
  <c r="T42" i="1"/>
  <c r="T26" i="1"/>
  <c r="W26" i="1" s="1"/>
  <c r="T10" i="1"/>
  <c r="T126" i="1"/>
  <c r="T94" i="1"/>
  <c r="T78" i="1"/>
  <c r="T46" i="1"/>
  <c r="W46" i="1" s="1"/>
  <c r="T14" i="1"/>
  <c r="T150" i="1"/>
  <c r="T134" i="1"/>
  <c r="T118" i="1"/>
  <c r="T102" i="1"/>
  <c r="T86" i="1"/>
  <c r="T70" i="1"/>
  <c r="W70" i="1" s="1"/>
  <c r="T54" i="1"/>
  <c r="W54" i="1" s="1"/>
  <c r="T38" i="1"/>
  <c r="T22" i="1"/>
  <c r="T6" i="1"/>
  <c r="T146" i="1"/>
  <c r="W146" i="1" s="1"/>
  <c r="T130" i="1"/>
  <c r="T114" i="1"/>
  <c r="W114" i="1" s="1"/>
  <c r="T98" i="1"/>
  <c r="W98" i="1" s="1"/>
  <c r="T82" i="1"/>
  <c r="W82" i="1" s="1"/>
  <c r="T66" i="1"/>
  <c r="T50" i="1"/>
  <c r="T34" i="1"/>
  <c r="W34" i="1" s="1"/>
  <c r="T18" i="1"/>
  <c r="W18" i="1" s="1"/>
  <c r="T149" i="1"/>
  <c r="T145" i="1"/>
  <c r="T141" i="1"/>
  <c r="T137" i="1"/>
  <c r="W137" i="1" s="1"/>
  <c r="T133" i="1"/>
  <c r="T129" i="1"/>
  <c r="T125" i="1"/>
  <c r="T121" i="1"/>
  <c r="W121" i="1" s="1"/>
  <c r="T117" i="1"/>
  <c r="T113" i="1"/>
  <c r="T109" i="1"/>
  <c r="W109" i="1" s="1"/>
  <c r="T105" i="1"/>
  <c r="T101" i="1"/>
  <c r="T97" i="1"/>
  <c r="T93" i="1"/>
  <c r="T89" i="1"/>
  <c r="W89" i="1" s="1"/>
  <c r="T85" i="1"/>
  <c r="T81" i="1"/>
  <c r="T77" i="1"/>
  <c r="T73" i="1"/>
  <c r="W73" i="1" s="1"/>
  <c r="T69" i="1"/>
  <c r="T65" i="1"/>
  <c r="T61" i="1"/>
  <c r="W61" i="1" s="1"/>
  <c r="T57" i="1"/>
  <c r="W57" i="1" s="1"/>
  <c r="T53" i="1"/>
  <c r="T49" i="1"/>
  <c r="T45" i="1"/>
  <c r="W45" i="1" s="1"/>
  <c r="T41" i="1"/>
  <c r="W41" i="1" s="1"/>
  <c r="T37" i="1"/>
  <c r="T33" i="1"/>
  <c r="W33" i="1" s="1"/>
  <c r="T29" i="1"/>
  <c r="T25" i="1"/>
  <c r="T21" i="1"/>
  <c r="T17" i="1"/>
  <c r="W17" i="1" s="1"/>
  <c r="T13" i="1"/>
  <c r="W13" i="1" s="1"/>
  <c r="T9" i="1"/>
  <c r="W9" i="1" s="1"/>
  <c r="T5" i="1"/>
  <c r="T148" i="1"/>
  <c r="T144" i="1"/>
  <c r="W144" i="1" s="1"/>
  <c r="T140" i="1"/>
  <c r="W140" i="1" s="1"/>
  <c r="T136" i="1"/>
  <c r="T132" i="1"/>
  <c r="W132" i="1" s="1"/>
  <c r="T128" i="1"/>
  <c r="W128" i="1" s="1"/>
  <c r="T124" i="1"/>
  <c r="W124" i="1" s="1"/>
  <c r="T120" i="1"/>
  <c r="T116" i="1"/>
  <c r="T112" i="1"/>
  <c r="W112" i="1" s="1"/>
  <c r="T108" i="1"/>
  <c r="W108" i="1" s="1"/>
  <c r="T104" i="1"/>
  <c r="W104" i="1" s="1"/>
  <c r="T100" i="1"/>
  <c r="W100" i="1" s="1"/>
  <c r="T96" i="1"/>
  <c r="T92" i="1"/>
  <c r="W92" i="1" s="1"/>
  <c r="T88" i="1"/>
  <c r="W88" i="1" s="1"/>
  <c r="T84" i="1"/>
  <c r="T80" i="1"/>
  <c r="W80" i="1" s="1"/>
  <c r="T76" i="1"/>
  <c r="W76" i="1" s="1"/>
  <c r="T72" i="1"/>
  <c r="W72" i="1" s="1"/>
  <c r="T68" i="1"/>
  <c r="W68" i="1" s="1"/>
  <c r="T64" i="1"/>
  <c r="W64" i="1" s="1"/>
  <c r="T60" i="1"/>
  <c r="W60" i="1" s="1"/>
  <c r="T56" i="1"/>
  <c r="T52" i="1"/>
  <c r="W52" i="1" s="1"/>
  <c r="T48" i="1"/>
  <c r="W48" i="1" s="1"/>
  <c r="T44" i="1"/>
  <c r="W44" i="1" s="1"/>
  <c r="T40" i="1"/>
  <c r="T36" i="1"/>
  <c r="T32" i="1"/>
  <c r="W32" i="1" s="1"/>
  <c r="T28" i="1"/>
  <c r="W28" i="1" s="1"/>
  <c r="T24" i="1"/>
  <c r="T20" i="1"/>
  <c r="T16" i="1"/>
  <c r="W16" i="1" s="1"/>
  <c r="T12" i="1"/>
  <c r="W12" i="1" s="1"/>
  <c r="T8" i="1"/>
  <c r="T4" i="1"/>
  <c r="W4" i="1" s="1"/>
  <c r="T147" i="1"/>
  <c r="W147" i="1" s="1"/>
  <c r="T143" i="1"/>
  <c r="W143" i="1" s="1"/>
  <c r="T139" i="1"/>
  <c r="W139" i="1" s="1"/>
  <c r="T135" i="1"/>
  <c r="T131" i="1"/>
  <c r="W131" i="1" s="1"/>
  <c r="T127" i="1"/>
  <c r="W127" i="1" s="1"/>
  <c r="T123" i="1"/>
  <c r="W123" i="1" s="1"/>
  <c r="T119" i="1"/>
  <c r="W119" i="1" s="1"/>
  <c r="T115" i="1"/>
  <c r="W115" i="1" s="1"/>
  <c r="T111" i="1"/>
  <c r="T107" i="1"/>
  <c r="W107" i="1" s="1"/>
  <c r="T103" i="1"/>
  <c r="W103" i="1" s="1"/>
  <c r="T99" i="1"/>
  <c r="W99" i="1" s="1"/>
  <c r="T95" i="1"/>
  <c r="W95" i="1" s="1"/>
  <c r="T91" i="1"/>
  <c r="T87" i="1"/>
  <c r="T83" i="1"/>
  <c r="W83" i="1" s="1"/>
  <c r="T79" i="1"/>
  <c r="W79" i="1" s="1"/>
  <c r="T75" i="1"/>
  <c r="W75" i="1" s="1"/>
  <c r="T71" i="1"/>
  <c r="W71" i="1" s="1"/>
  <c r="T67" i="1"/>
  <c r="T63" i="1"/>
  <c r="W63" i="1" s="1"/>
  <c r="T59" i="1"/>
  <c r="W59" i="1" s="1"/>
  <c r="T55" i="1"/>
  <c r="T51" i="1"/>
  <c r="W51" i="1" s="1"/>
  <c r="T47" i="1"/>
  <c r="T43" i="1"/>
  <c r="T39" i="1"/>
  <c r="W39" i="1" s="1"/>
  <c r="T35" i="1"/>
  <c r="W35" i="1" s="1"/>
  <c r="T31" i="1"/>
  <c r="W31" i="1" s="1"/>
  <c r="T27" i="1"/>
  <c r="W27" i="1" s="1"/>
  <c r="T23" i="1"/>
  <c r="W23" i="1" s="1"/>
  <c r="T19" i="1"/>
  <c r="W19" i="1" s="1"/>
  <c r="T15" i="1"/>
  <c r="T11" i="1"/>
  <c r="W11" i="1" s="1"/>
  <c r="T7" i="1"/>
  <c r="W7" i="1" s="1"/>
  <c r="T3" i="1"/>
  <c r="W3" i="1" s="1"/>
  <c r="T2" i="1"/>
  <c r="W2" i="1" s="1"/>
  <c r="B5" i="3"/>
  <c r="B4" i="3"/>
  <c r="B6" i="3" s="1"/>
  <c r="V151" i="1"/>
  <c r="V66" i="1"/>
  <c r="V50" i="1"/>
  <c r="V34" i="1"/>
  <c r="V18" i="1"/>
  <c r="V146" i="1"/>
  <c r="V130" i="1"/>
  <c r="V114" i="1"/>
  <c r="V98" i="1"/>
  <c r="V82" i="1"/>
  <c r="V142" i="1"/>
  <c r="V126" i="1"/>
  <c r="V110" i="1"/>
  <c r="V94" i="1"/>
  <c r="V78" i="1"/>
  <c r="V62" i="1"/>
  <c r="V46" i="1"/>
  <c r="V30" i="1"/>
  <c r="V14" i="1"/>
  <c r="V138" i="1"/>
  <c r="V122" i="1"/>
  <c r="V106" i="1"/>
  <c r="V90" i="1"/>
  <c r="V74" i="1"/>
  <c r="V58" i="1"/>
  <c r="V42" i="1"/>
  <c r="V26" i="1"/>
  <c r="V10" i="1"/>
  <c r="V150" i="1"/>
  <c r="V134" i="1"/>
  <c r="V118" i="1"/>
  <c r="V102" i="1"/>
  <c r="V86" i="1"/>
  <c r="V70" i="1"/>
  <c r="V54" i="1"/>
  <c r="V38" i="1"/>
  <c r="V22" i="1"/>
  <c r="V6" i="1"/>
  <c r="V149" i="1"/>
  <c r="V145" i="1"/>
  <c r="V141" i="1"/>
  <c r="V137" i="1"/>
  <c r="V133" i="1"/>
  <c r="V129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V9" i="1"/>
  <c r="V5" i="1"/>
  <c r="V148" i="1"/>
  <c r="V144" i="1"/>
  <c r="V140" i="1"/>
  <c r="V136" i="1"/>
  <c r="V132" i="1"/>
  <c r="V128" i="1"/>
  <c r="V124" i="1"/>
  <c r="V120" i="1"/>
  <c r="V116" i="1"/>
  <c r="V112" i="1"/>
  <c r="V108" i="1"/>
  <c r="V104" i="1"/>
  <c r="V100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4" i="1"/>
  <c r="V147" i="1"/>
  <c r="V143" i="1"/>
  <c r="V139" i="1"/>
  <c r="V135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1" i="1"/>
  <c r="V7" i="1"/>
  <c r="V3" i="1"/>
  <c r="V2" i="1"/>
  <c r="W118" i="1" l="1"/>
  <c r="W10" i="1"/>
  <c r="W110" i="1"/>
  <c r="W15" i="1"/>
  <c r="W25" i="1"/>
  <c r="W67" i="1"/>
  <c r="W96" i="1"/>
  <c r="W29" i="1"/>
  <c r="W77" i="1"/>
  <c r="W93" i="1"/>
  <c r="W125" i="1"/>
  <c r="W141" i="1"/>
  <c r="W6" i="1"/>
  <c r="W134" i="1"/>
  <c r="W78" i="1"/>
  <c r="W90" i="1"/>
  <c r="W151" i="1"/>
  <c r="W142" i="1"/>
  <c r="W111" i="1"/>
  <c r="W105" i="1"/>
  <c r="W55" i="1"/>
  <c r="W87" i="1"/>
  <c r="W135" i="1"/>
  <c r="W20" i="1"/>
  <c r="W36" i="1"/>
  <c r="W84" i="1"/>
  <c r="W116" i="1"/>
  <c r="W148" i="1"/>
  <c r="W49" i="1"/>
  <c r="W65" i="1"/>
  <c r="W81" i="1"/>
  <c r="W97" i="1"/>
  <c r="W113" i="1"/>
  <c r="W129" i="1"/>
  <c r="W145" i="1"/>
  <c r="W50" i="1"/>
  <c r="W22" i="1"/>
  <c r="W86" i="1"/>
  <c r="W150" i="1"/>
  <c r="W94" i="1"/>
  <c r="W42" i="1"/>
  <c r="W106" i="1"/>
  <c r="W30" i="1"/>
  <c r="W47" i="1"/>
  <c r="W43" i="1"/>
  <c r="W91" i="1"/>
  <c r="W8" i="1"/>
  <c r="W24" i="1"/>
  <c r="W40" i="1"/>
  <c r="W56" i="1"/>
  <c r="W120" i="1"/>
  <c r="W136" i="1"/>
  <c r="W5" i="1"/>
  <c r="W21" i="1"/>
  <c r="W37" i="1"/>
  <c r="W53" i="1"/>
  <c r="W69" i="1"/>
  <c r="W85" i="1"/>
  <c r="W101" i="1"/>
  <c r="W117" i="1"/>
  <c r="W133" i="1"/>
  <c r="W149" i="1"/>
  <c r="W66" i="1"/>
  <c r="W130" i="1"/>
  <c r="W38" i="1"/>
  <c r="W102" i="1"/>
  <c r="W14" i="1"/>
  <c r="W126" i="1"/>
  <c r="W58" i="1"/>
  <c r="W122" i="1"/>
  <c r="W62" i="1"/>
  <c r="B10" i="3"/>
</calcChain>
</file>

<file path=xl/sharedStrings.xml><?xml version="1.0" encoding="utf-8"?>
<sst xmlns="http://schemas.openxmlformats.org/spreadsheetml/2006/main" count="1085" uniqueCount="497">
  <si>
    <t>start_date</t>
  </si>
  <si>
    <t>No_of_Days</t>
  </si>
  <si>
    <t>exp_daily_rep</t>
  </si>
  <si>
    <t>down_payment</t>
  </si>
  <si>
    <t>Due today</t>
  </si>
  <si>
    <t>unique_id</t>
  </si>
  <si>
    <t>Status</t>
  </si>
  <si>
    <t>number_plate</t>
  </si>
  <si>
    <t>full_name</t>
  </si>
  <si>
    <t>account_number</t>
  </si>
  <si>
    <t>Total Received</t>
  </si>
  <si>
    <t>Remaining balance</t>
  </si>
  <si>
    <t>Rider status</t>
  </si>
  <si>
    <t>Location</t>
  </si>
  <si>
    <t>Active</t>
  </si>
  <si>
    <t>KTU96LM</t>
  </si>
  <si>
    <t>Tochukwu Bello</t>
  </si>
  <si>
    <t>Compliant</t>
  </si>
  <si>
    <t>Festac</t>
  </si>
  <si>
    <t>MUS35LM</t>
  </si>
  <si>
    <t>Tochukwu Williams</t>
  </si>
  <si>
    <t>EKY29CD</t>
  </si>
  <si>
    <t>Victor Eze</t>
  </si>
  <si>
    <t>APP78AB</t>
  </si>
  <si>
    <t>Musa Bello</t>
  </si>
  <si>
    <t>LAG47AB</t>
  </si>
  <si>
    <t>Tunde Eze</t>
  </si>
  <si>
    <t>KTU87LM</t>
  </si>
  <si>
    <t>Daniel Ogunleye</t>
  </si>
  <si>
    <t>EKY17CD</t>
  </si>
  <si>
    <t>Chinedu Balogun</t>
  </si>
  <si>
    <t>APP92GH</t>
  </si>
  <si>
    <t>Samuel Akinyemi</t>
  </si>
  <si>
    <t>EKY38CD</t>
  </si>
  <si>
    <t>Bright Sule</t>
  </si>
  <si>
    <t>APP86GH</t>
  </si>
  <si>
    <t>Bright Akinyemi</t>
  </si>
  <si>
    <t>LAG68AB</t>
  </si>
  <si>
    <t>Oluwaseun Okoro</t>
  </si>
  <si>
    <t>MUS35CD</t>
  </si>
  <si>
    <t>Godwin Johnson</t>
  </si>
  <si>
    <t>LAG17CD</t>
  </si>
  <si>
    <t>Ayomide Bello</t>
  </si>
  <si>
    <t>MUS31EF</t>
  </si>
  <si>
    <t>Bright Salami</t>
  </si>
  <si>
    <t>LAG18EF</t>
  </si>
  <si>
    <t>Adebayo Madu</t>
  </si>
  <si>
    <t>LAG18AB</t>
  </si>
  <si>
    <t>Victor Bello</t>
  </si>
  <si>
    <t>LAG70NP</t>
  </si>
  <si>
    <t>Kelvin Ojo</t>
  </si>
  <si>
    <t>KTU17GH</t>
  </si>
  <si>
    <t>LAG19GH</t>
  </si>
  <si>
    <t>Tochukwu Eze</t>
  </si>
  <si>
    <t>APP37NP</t>
  </si>
  <si>
    <t>Musa Okafor</t>
  </si>
  <si>
    <t>LAG34EF</t>
  </si>
  <si>
    <t>Michael Okafor</t>
  </si>
  <si>
    <t>LAG17JK</t>
  </si>
  <si>
    <t>Emeka Johnson</t>
  </si>
  <si>
    <t>MUS86AB</t>
  </si>
  <si>
    <t>Femi Bello</t>
  </si>
  <si>
    <t>LAG95LM</t>
  </si>
  <si>
    <t>Yusuf Obi</t>
  </si>
  <si>
    <t>LAG54AB</t>
  </si>
  <si>
    <t>Tunde Uche</t>
  </si>
  <si>
    <t>KTU27EF</t>
  </si>
  <si>
    <t>Ibrahim Eze</t>
  </si>
  <si>
    <t>MUS72EF</t>
  </si>
  <si>
    <t>Chinedu Bello</t>
  </si>
  <si>
    <t>LAG66JK</t>
  </si>
  <si>
    <t>Kelvin Ogunleye</t>
  </si>
  <si>
    <t>APP26AB</t>
  </si>
  <si>
    <t>Yusuf Uche</t>
  </si>
  <si>
    <t>MUS62JK</t>
  </si>
  <si>
    <t>Samuel Lawal</t>
  </si>
  <si>
    <t>APP95NP</t>
  </si>
  <si>
    <t>Tunde Akinyemi</t>
  </si>
  <si>
    <t>EKY49NP</t>
  </si>
  <si>
    <t>Tunde Lawal</t>
  </si>
  <si>
    <t>EKY92JK</t>
  </si>
  <si>
    <t>Musa Ogunleye</t>
  </si>
  <si>
    <t>EKY50GH</t>
  </si>
  <si>
    <t>Femi Okoro</t>
  </si>
  <si>
    <t>MUS78LM</t>
  </si>
  <si>
    <t>Michael Uche</t>
  </si>
  <si>
    <t>EKY74EF</t>
  </si>
  <si>
    <t>Kelvin Balogun</t>
  </si>
  <si>
    <t>APP80NP</t>
  </si>
  <si>
    <t>Adebayo Nwosu</t>
  </si>
  <si>
    <t>LAG94AB</t>
  </si>
  <si>
    <t>Yusuf Okoro</t>
  </si>
  <si>
    <t>LAG13AB</t>
  </si>
  <si>
    <t>Tunde Sule</t>
  </si>
  <si>
    <t>APP61CD</t>
  </si>
  <si>
    <t>Samuel Adeyemi</t>
  </si>
  <si>
    <t>KTU68CD</t>
  </si>
  <si>
    <t>Joseph Okoro</t>
  </si>
  <si>
    <t>APP43NP</t>
  </si>
  <si>
    <t>LAG44EF</t>
  </si>
  <si>
    <t>Victor Ogunleye</t>
  </si>
  <si>
    <t>APP62EF</t>
  </si>
  <si>
    <t>Tochukwu Obi</t>
  </si>
  <si>
    <t>MUS58GH</t>
  </si>
  <si>
    <t>Adebayo Uche</t>
  </si>
  <si>
    <t>KTU59EF</t>
  </si>
  <si>
    <t>Musa Johnson</t>
  </si>
  <si>
    <t>KTU92GH</t>
  </si>
  <si>
    <t>Samuel Obi</t>
  </si>
  <si>
    <t>APP45NP</t>
  </si>
  <si>
    <t>Kelvin Akinyemi</t>
  </si>
  <si>
    <t>LAG93AB</t>
  </si>
  <si>
    <t>Chinedu Adeyemi</t>
  </si>
  <si>
    <t>KTU82CD</t>
  </si>
  <si>
    <t>Joseph Akinyemi</t>
  </si>
  <si>
    <t>MUS96GH</t>
  </si>
  <si>
    <t>Musa Ojo</t>
  </si>
  <si>
    <t>Okota</t>
  </si>
  <si>
    <t>MUS15EF</t>
  </si>
  <si>
    <t>APP56LM</t>
  </si>
  <si>
    <t>Joseph Ibrahim</t>
  </si>
  <si>
    <t>APP85EF</t>
  </si>
  <si>
    <t>Victor Lawal</t>
  </si>
  <si>
    <t>EKY13GH</t>
  </si>
  <si>
    <t>Victor Johnson</t>
  </si>
  <si>
    <t>MUS11JK</t>
  </si>
  <si>
    <t>Michael Bello</t>
  </si>
  <si>
    <t>APP12AB</t>
  </si>
  <si>
    <t>Yusuf Lawal</t>
  </si>
  <si>
    <t>MUS52EF</t>
  </si>
  <si>
    <t>LAG34CD</t>
  </si>
  <si>
    <t>David Akinyemi</t>
  </si>
  <si>
    <t>LAG45AB</t>
  </si>
  <si>
    <t>Chinedu Ogunleye</t>
  </si>
  <si>
    <t>APP66EF</t>
  </si>
  <si>
    <t>Daniel Okafor</t>
  </si>
  <si>
    <t>LAG29NP</t>
  </si>
  <si>
    <t>Ayomide Nwosu</t>
  </si>
  <si>
    <t>Joseph Nwosu</t>
  </si>
  <si>
    <t>EKY94AB</t>
  </si>
  <si>
    <t>Daniel Lawal</t>
  </si>
  <si>
    <t>LAG46LM</t>
  </si>
  <si>
    <t>Frozen</t>
  </si>
  <si>
    <t>KTU79CD</t>
  </si>
  <si>
    <t>APP25GH</t>
  </si>
  <si>
    <t>Yusuf Abubakar</t>
  </si>
  <si>
    <t>MUS42AB</t>
  </si>
  <si>
    <t>Emeka Lawal</t>
  </si>
  <si>
    <t>APP76LM</t>
  </si>
  <si>
    <t>EKY95AB</t>
  </si>
  <si>
    <t>Daniel Balogun</t>
  </si>
  <si>
    <t>EKY51AB</t>
  </si>
  <si>
    <t>Musa Okoro</t>
  </si>
  <si>
    <t>APP16CD</t>
  </si>
  <si>
    <t>Oluwaseun Ogunleye</t>
  </si>
  <si>
    <t>LAG49JK</t>
  </si>
  <si>
    <t>Adebayo Ogunleye</t>
  </si>
  <si>
    <t>MUS44GH</t>
  </si>
  <si>
    <t>David Sule</t>
  </si>
  <si>
    <t>LAG67JK</t>
  </si>
  <si>
    <t>David Uche</t>
  </si>
  <si>
    <t>APP15EF</t>
  </si>
  <si>
    <t>David Abubakar</t>
  </si>
  <si>
    <t>KTU66AB</t>
  </si>
  <si>
    <t>Bright Obi</t>
  </si>
  <si>
    <t>EKY89LM</t>
  </si>
  <si>
    <t>LAG90LM</t>
  </si>
  <si>
    <t>KTU51NP</t>
  </si>
  <si>
    <t>Chinedu Nwosu</t>
  </si>
  <si>
    <t>LAG32AB</t>
  </si>
  <si>
    <t>Femi Abubakar</t>
  </si>
  <si>
    <t>EKY68NP</t>
  </si>
  <si>
    <t>Yusuf Ojo</t>
  </si>
  <si>
    <t>EKY12NP</t>
  </si>
  <si>
    <t>Musa Akinyemi</t>
  </si>
  <si>
    <t>MUS55CD</t>
  </si>
  <si>
    <t>Michael Salami</t>
  </si>
  <si>
    <t>EKY51LM</t>
  </si>
  <si>
    <t>Kelvin Johnson</t>
  </si>
  <si>
    <t>EKY71NP</t>
  </si>
  <si>
    <t>Yusuf Balogun</t>
  </si>
  <si>
    <t>MUS56AB</t>
  </si>
  <si>
    <t>Musa Adeyemi</t>
  </si>
  <si>
    <t>KTU96CD</t>
  </si>
  <si>
    <t>David Adeyemi</t>
  </si>
  <si>
    <t>APP24CD</t>
  </si>
  <si>
    <t>Chinedu Okafor</t>
  </si>
  <si>
    <t>MUS29GH</t>
  </si>
  <si>
    <t>Ibrahim Sule</t>
  </si>
  <si>
    <t>LAG56AB</t>
  </si>
  <si>
    <t>Godwin Ogunleye</t>
  </si>
  <si>
    <t>KTU94CD</t>
  </si>
  <si>
    <t>Femi Adeyemi</t>
  </si>
  <si>
    <t>LAG52NP</t>
  </si>
  <si>
    <t>Samuel Salami</t>
  </si>
  <si>
    <t>KTU26AB</t>
  </si>
  <si>
    <t>Godwin Lawal</t>
  </si>
  <si>
    <t>MUS24LM</t>
  </si>
  <si>
    <t>Emeka Sule</t>
  </si>
  <si>
    <t>EKY68LM</t>
  </si>
  <si>
    <t>Adebayo Okafor</t>
  </si>
  <si>
    <t>KTU51JK</t>
  </si>
  <si>
    <t>Samuel Bello</t>
  </si>
  <si>
    <t>MUS87GH</t>
  </si>
  <si>
    <t>APP22EF</t>
  </si>
  <si>
    <t>Cele</t>
  </si>
  <si>
    <t>KTU65AB</t>
  </si>
  <si>
    <t>Godwin Ibrahim</t>
  </si>
  <si>
    <t>KTU46JK</t>
  </si>
  <si>
    <t>KTU45JK</t>
  </si>
  <si>
    <t>Tunde Williams</t>
  </si>
  <si>
    <t>EKY54AB</t>
  </si>
  <si>
    <t>Daniel Ibrahim</t>
  </si>
  <si>
    <t>APP53CD</t>
  </si>
  <si>
    <t>Godwin Nwosu</t>
  </si>
  <si>
    <t>KTU44GH</t>
  </si>
  <si>
    <t>Kelvin Sule</t>
  </si>
  <si>
    <t>KTU46LM</t>
  </si>
  <si>
    <t>Ayomide Sule</t>
  </si>
  <si>
    <t>LAG27NP</t>
  </si>
  <si>
    <t>Oluwaseun Nwosu</t>
  </si>
  <si>
    <t>MUS39JK</t>
  </si>
  <si>
    <t>Tochukwu Uche</t>
  </si>
  <si>
    <t>MUS64JK</t>
  </si>
  <si>
    <t>Musa Williams</t>
  </si>
  <si>
    <t>EKY21GH</t>
  </si>
  <si>
    <t>Ibrahim Lawal</t>
  </si>
  <si>
    <t>MUS91AB</t>
  </si>
  <si>
    <t>Bright Okoro</t>
  </si>
  <si>
    <t>LAG87CD</t>
  </si>
  <si>
    <t>EKY29GH</t>
  </si>
  <si>
    <t>EKY46AB</t>
  </si>
  <si>
    <t>Emeka Salami</t>
  </si>
  <si>
    <t>MUS70JK</t>
  </si>
  <si>
    <t>Samuel Okafor</t>
  </si>
  <si>
    <t>APP77JK</t>
  </si>
  <si>
    <t>Femi Johnson</t>
  </si>
  <si>
    <t>KTU52AB</t>
  </si>
  <si>
    <t>Tochukwu Abubakar</t>
  </si>
  <si>
    <t>EKY49LM</t>
  </si>
  <si>
    <t>Musa Ibrahim</t>
  </si>
  <si>
    <t>KTU92LM</t>
  </si>
  <si>
    <t>Kelvin Okoro</t>
  </si>
  <si>
    <t>LAG38CD</t>
  </si>
  <si>
    <t>MUS58CD</t>
  </si>
  <si>
    <t>Daniel Johnson</t>
  </si>
  <si>
    <t>APP39JK</t>
  </si>
  <si>
    <t>Tunde Nwosu</t>
  </si>
  <si>
    <t>EKY58JK</t>
  </si>
  <si>
    <t>Bright Williams</t>
  </si>
  <si>
    <t>MUS23LM</t>
  </si>
  <si>
    <t>Bright Eze</t>
  </si>
  <si>
    <t>KTU38NP</t>
  </si>
  <si>
    <t>Joseph Uche</t>
  </si>
  <si>
    <t>EKY38AB</t>
  </si>
  <si>
    <t>LAG70GH</t>
  </si>
  <si>
    <t>APP24NP</t>
  </si>
  <si>
    <t>APP86JK</t>
  </si>
  <si>
    <t>Adebayo Okoro</t>
  </si>
  <si>
    <t>Emeka Okoro</t>
  </si>
  <si>
    <t>EKY42LM</t>
  </si>
  <si>
    <t>LAG15EF</t>
  </si>
  <si>
    <t>Tochukwu Balogun</t>
  </si>
  <si>
    <t>KTU47CD</t>
  </si>
  <si>
    <t>Chinedu Ojo</t>
  </si>
  <si>
    <t>EKY14NP</t>
  </si>
  <si>
    <t>Michael Nwosu</t>
  </si>
  <si>
    <t>APP66GH</t>
  </si>
  <si>
    <t>MUS47EF</t>
  </si>
  <si>
    <t>Ibrahim Bello</t>
  </si>
  <si>
    <t>EKY88GH</t>
  </si>
  <si>
    <t>Oluwaseun Okafor</t>
  </si>
  <si>
    <t>KTU28NP</t>
  </si>
  <si>
    <t>Femi Obi</t>
  </si>
  <si>
    <t>MUS29LM</t>
  </si>
  <si>
    <t>LAG24AB</t>
  </si>
  <si>
    <t>Daniel Sule</t>
  </si>
  <si>
    <t>MUS46LM</t>
  </si>
  <si>
    <t>David Ojo</t>
  </si>
  <si>
    <t>EKY18JK</t>
  </si>
  <si>
    <t>Tochukwu Nwosu</t>
  </si>
  <si>
    <t>LAG40NP</t>
  </si>
  <si>
    <t>APP77GH</t>
  </si>
  <si>
    <t>Kelvin Madu</t>
  </si>
  <si>
    <t>LAG80LM</t>
  </si>
  <si>
    <t>Ayomide Johnson</t>
  </si>
  <si>
    <t>LAG51LM</t>
  </si>
  <si>
    <t>MUS92CD</t>
  </si>
  <si>
    <t>Ayomide Madu</t>
  </si>
  <si>
    <t>KTU15LM</t>
  </si>
  <si>
    <t>Ayomide Akinyemi</t>
  </si>
  <si>
    <t>Non-compliant</t>
  </si>
  <si>
    <t>Total contract amount</t>
  </si>
  <si>
    <t>Outstanding</t>
  </si>
  <si>
    <t>Recovered</t>
  </si>
  <si>
    <t>MOVE1000000</t>
  </si>
  <si>
    <t>MOVE1000001</t>
  </si>
  <si>
    <t>MOVE1000002</t>
  </si>
  <si>
    <t>MOVE1000003</t>
  </si>
  <si>
    <t>MOVE1000004</t>
  </si>
  <si>
    <t>MOVE1000005</t>
  </si>
  <si>
    <t>MOVE1000006</t>
  </si>
  <si>
    <t>MOVE1000007</t>
  </si>
  <si>
    <t>MOVE1000008</t>
  </si>
  <si>
    <t>MOVE1000009</t>
  </si>
  <si>
    <t>MOVE1000010</t>
  </si>
  <si>
    <t>MOVE1000011</t>
  </si>
  <si>
    <t>MOVE1000012</t>
  </si>
  <si>
    <t>MOVE1000013</t>
  </si>
  <si>
    <t>MOVE1000014</t>
  </si>
  <si>
    <t>MOVE1000015</t>
  </si>
  <si>
    <t>MOVE1000016</t>
  </si>
  <si>
    <t>MOVE1000017</t>
  </si>
  <si>
    <t>MOVE1000018</t>
  </si>
  <si>
    <t>MOVE1000019</t>
  </si>
  <si>
    <t>MOVE1000020</t>
  </si>
  <si>
    <t>MOVE1000021</t>
  </si>
  <si>
    <t>MOVE1000022</t>
  </si>
  <si>
    <t>MOVE1000023</t>
  </si>
  <si>
    <t>MOVE1000024</t>
  </si>
  <si>
    <t>MOVE1000025</t>
  </si>
  <si>
    <t>MOVE1000026</t>
  </si>
  <si>
    <t>MOVE1000027</t>
  </si>
  <si>
    <t>MOVE1000028</t>
  </si>
  <si>
    <t>MOVE1000029</t>
  </si>
  <si>
    <t>MOVE1000030</t>
  </si>
  <si>
    <t>MOVE1000031</t>
  </si>
  <si>
    <t>MOVE1000032</t>
  </si>
  <si>
    <t>MOVE1000033</t>
  </si>
  <si>
    <t>MOVE1000034</t>
  </si>
  <si>
    <t>MOVE1000035</t>
  </si>
  <si>
    <t>MOVE1000036</t>
  </si>
  <si>
    <t>MOVE1000037</t>
  </si>
  <si>
    <t>MOVE1000038</t>
  </si>
  <si>
    <t>MOVE1000039</t>
  </si>
  <si>
    <t>MOVE1000040</t>
  </si>
  <si>
    <t>MOVE1000041</t>
  </si>
  <si>
    <t>MOVE1000042</t>
  </si>
  <si>
    <t>MOVE1000043</t>
  </si>
  <si>
    <t>MOVE1000044</t>
  </si>
  <si>
    <t>MOVE1000045</t>
  </si>
  <si>
    <t>MOVE1000046</t>
  </si>
  <si>
    <t>MOVE1000047</t>
  </si>
  <si>
    <t>MOVE1000048</t>
  </si>
  <si>
    <t>MOVE1000049</t>
  </si>
  <si>
    <t>MOVE1000050</t>
  </si>
  <si>
    <t>MOVE1000051</t>
  </si>
  <si>
    <t>MOVE1000052</t>
  </si>
  <si>
    <t>MOVE1000053</t>
  </si>
  <si>
    <t>MOVE1000054</t>
  </si>
  <si>
    <t>MOVE1000055</t>
  </si>
  <si>
    <t>MOVE1000056</t>
  </si>
  <si>
    <t>MOVE1000057</t>
  </si>
  <si>
    <t>MOVE1000058</t>
  </si>
  <si>
    <t>MOVE1000059</t>
  </si>
  <si>
    <t>MOVE1000060</t>
  </si>
  <si>
    <t>MOVE1000061</t>
  </si>
  <si>
    <t>MOVE1000062</t>
  </si>
  <si>
    <t>MOVE1000063</t>
  </si>
  <si>
    <t>MOVE1000064</t>
  </si>
  <si>
    <t>MOVE1000065</t>
  </si>
  <si>
    <t>MOVE1000066</t>
  </si>
  <si>
    <t>MOVE1000067</t>
  </si>
  <si>
    <t>MOVE1000068</t>
  </si>
  <si>
    <t>MOVE1000069</t>
  </si>
  <si>
    <t>MOVE1000070</t>
  </si>
  <si>
    <t>MOVE1000071</t>
  </si>
  <si>
    <t>MOVE1000072</t>
  </si>
  <si>
    <t>MOVE1000073</t>
  </si>
  <si>
    <t>MOVE1000074</t>
  </si>
  <si>
    <t>MOVE1000075</t>
  </si>
  <si>
    <t>MOVE1000076</t>
  </si>
  <si>
    <t>MOVE1000077</t>
  </si>
  <si>
    <t>MOVE1000078</t>
  </si>
  <si>
    <t>MOVE1000079</t>
  </si>
  <si>
    <t>MOVE1000080</t>
  </si>
  <si>
    <t>MOVE1000081</t>
  </si>
  <si>
    <t>MOVE1000082</t>
  </si>
  <si>
    <t>MOVE1000083</t>
  </si>
  <si>
    <t>MOVE1000084</t>
  </si>
  <si>
    <t>MOVE1000085</t>
  </si>
  <si>
    <t>MOVE1000086</t>
  </si>
  <si>
    <t>MOVE1000087</t>
  </si>
  <si>
    <t>MOVE1000088</t>
  </si>
  <si>
    <t>MOVE1000089</t>
  </si>
  <si>
    <t>MOVE1000090</t>
  </si>
  <si>
    <t>MOVE1000091</t>
  </si>
  <si>
    <t>MOVE1000092</t>
  </si>
  <si>
    <t>MOVE1000093</t>
  </si>
  <si>
    <t>MOVE1000094</t>
  </si>
  <si>
    <t>MOVE1000095</t>
  </si>
  <si>
    <t>MOVE1000096</t>
  </si>
  <si>
    <t>MOVE1000097</t>
  </si>
  <si>
    <t>MOVE1000098</t>
  </si>
  <si>
    <t>MOVE1000099</t>
  </si>
  <si>
    <t>MOVE1000100</t>
  </si>
  <si>
    <t>MOVE1000101</t>
  </si>
  <si>
    <t>MOVE1000102</t>
  </si>
  <si>
    <t>MOVE1000103</t>
  </si>
  <si>
    <t>MOVE1000104</t>
  </si>
  <si>
    <t>MOVE1000105</t>
  </si>
  <si>
    <t>MOVE1000106</t>
  </si>
  <si>
    <t>MOVE1000107</t>
  </si>
  <si>
    <t>MOVE1000108</t>
  </si>
  <si>
    <t>MOVE1000109</t>
  </si>
  <si>
    <t>MOVE1000110</t>
  </si>
  <si>
    <t>MOVE1000111</t>
  </si>
  <si>
    <t>MOVE1000112</t>
  </si>
  <si>
    <t>MOVE1000113</t>
  </si>
  <si>
    <t>MOVE1000114</t>
  </si>
  <si>
    <t>MOVE1000115</t>
  </si>
  <si>
    <t>MOVE1000116</t>
  </si>
  <si>
    <t>MOVE1000117</t>
  </si>
  <si>
    <t>MOVE1000118</t>
  </si>
  <si>
    <t>MOVE1000119</t>
  </si>
  <si>
    <t>MOVE1000120</t>
  </si>
  <si>
    <t>MOVE1000121</t>
  </si>
  <si>
    <t>MOVE1000122</t>
  </si>
  <si>
    <t>MOVE1000123</t>
  </si>
  <si>
    <t>MOVE1000124</t>
  </si>
  <si>
    <t>MOVE1000125</t>
  </si>
  <si>
    <t>MOVE1000126</t>
  </si>
  <si>
    <t>MOVE1000127</t>
  </si>
  <si>
    <t>MOVE1000128</t>
  </si>
  <si>
    <t>MOVE1000129</t>
  </si>
  <si>
    <t>MOVE1000130</t>
  </si>
  <si>
    <t>MOVE1000131</t>
  </si>
  <si>
    <t>MOVE1000132</t>
  </si>
  <si>
    <t>MOVE1000133</t>
  </si>
  <si>
    <t>MOVE1000134</t>
  </si>
  <si>
    <t>MOVE1000135</t>
  </si>
  <si>
    <t>MOVE1000136</t>
  </si>
  <si>
    <t>MOVE1000137</t>
  </si>
  <si>
    <t>MOVE1000138</t>
  </si>
  <si>
    <t>MOVE1000139</t>
  </si>
  <si>
    <t>MOVE1000140</t>
  </si>
  <si>
    <t>MOVE1000141</t>
  </si>
  <si>
    <t>MOVE1000142</t>
  </si>
  <si>
    <t>MOVE1000143</t>
  </si>
  <si>
    <t>MOVE1000144</t>
  </si>
  <si>
    <t>MOVE1000145</t>
  </si>
  <si>
    <t>MOVE1000146</t>
  </si>
  <si>
    <t>MOVE1000147</t>
  </si>
  <si>
    <t>MOVE1000148</t>
  </si>
  <si>
    <t>MOVE1000149</t>
  </si>
  <si>
    <t>Payment rate</t>
  </si>
  <si>
    <t>exp_weekly-pay</t>
  </si>
  <si>
    <t>Paid  week 1</t>
  </si>
  <si>
    <t>Week 1 payment rate</t>
  </si>
  <si>
    <t>Days behind</t>
  </si>
  <si>
    <t>Repayment performance Category</t>
  </si>
  <si>
    <t>Asset status</t>
  </si>
  <si>
    <t>Original</t>
  </si>
  <si>
    <t>Ghost</t>
  </si>
  <si>
    <t>Overall collection performance</t>
  </si>
  <si>
    <t>Festac vs Okota vs Cele</t>
  </si>
  <si>
    <t>Compliant vs non-compliant</t>
  </si>
  <si>
    <t>Ghost vs Original</t>
  </si>
  <si>
    <t>Riders with high balances</t>
  </si>
  <si>
    <t>Riders with poor repayment performance</t>
  </si>
  <si>
    <t>Location performance</t>
  </si>
  <si>
    <t>KPI</t>
  </si>
  <si>
    <t>Results</t>
  </si>
  <si>
    <t>Total Expected</t>
  </si>
  <si>
    <t>Collection rate</t>
  </si>
  <si>
    <t>Total outstanding</t>
  </si>
  <si>
    <t>Payment progress</t>
  </si>
  <si>
    <t>Okota payment rate</t>
  </si>
  <si>
    <t>Total expected</t>
  </si>
  <si>
    <t>Collection Rate</t>
  </si>
  <si>
    <t>Collection progress</t>
  </si>
  <si>
    <t>Collection Progress</t>
  </si>
  <si>
    <t>Festac Payment rate</t>
  </si>
  <si>
    <t>Cele payment rate</t>
  </si>
  <si>
    <t>Sum of Due today</t>
  </si>
  <si>
    <t>Sum of Total Received</t>
  </si>
  <si>
    <t>Sum of Outstanding</t>
  </si>
  <si>
    <t>Average of Payment rate</t>
  </si>
  <si>
    <t>Row Labels</t>
  </si>
  <si>
    <t>Grand Total</t>
  </si>
  <si>
    <t>Count of unique_id</t>
  </si>
  <si>
    <t>(All)</t>
  </si>
  <si>
    <t>Total expected as of today</t>
  </si>
  <si>
    <t xml:space="preserve"> Total Received as of today</t>
  </si>
  <si>
    <t>Average of Days behind</t>
  </si>
  <si>
    <t>Good</t>
  </si>
  <si>
    <t>Needs Monitoring</t>
  </si>
  <si>
    <t>Poor</t>
  </si>
  <si>
    <t>Total assets</t>
  </si>
  <si>
    <t>AVG Days behind</t>
  </si>
  <si>
    <t>No of Ghost riders</t>
  </si>
  <si>
    <t>No of Original riders</t>
  </si>
  <si>
    <t>Musa Okafor(Festac)</t>
  </si>
  <si>
    <t>Emeka Okoro(Cele)</t>
  </si>
  <si>
    <t>Daniel Lawal(Okota)</t>
  </si>
  <si>
    <t>Count of Asset status</t>
  </si>
  <si>
    <t>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</si>
</sst>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6" formatCode="dd/mm/yyyy;@"/>
    <numFmt numFmtId="170" formatCode="0;[Red]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6" fontId="0" fillId="0" borderId="0" xfId="0" applyNumberFormat="1"/>
    <xf numFmtId="9" fontId="0" fillId="0" borderId="0" xfId="1" applyFont="1"/>
    <xf numFmtId="0" fontId="0" fillId="0" borderId="0" xfId="0" applyNumberFormat="1"/>
    <xf numFmtId="0" fontId="16" fillId="33" borderId="10" xfId="0" applyFont="1" applyFill="1" applyBorder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Font="1" applyBorder="1" applyAlignment="1">
      <alignment horizontal="left"/>
    </xf>
    <xf numFmtId="0" fontId="16" fillId="33" borderId="11" xfId="0" applyFont="1" applyFill="1" applyBorder="1" applyAlignment="1">
      <alignment horizontal="left"/>
    </xf>
    <xf numFmtId="9" fontId="16" fillId="33" borderId="11" xfId="0" applyNumberFormat="1" applyFont="1" applyFill="1" applyBorder="1"/>
    <xf numFmtId="164" fontId="16" fillId="0" borderId="10" xfId="0" applyNumberFormat="1" applyFont="1" applyBorder="1"/>
    <xf numFmtId="10" fontId="16" fillId="0" borderId="10" xfId="0" applyNumberFormat="1" applyFont="1" applyBorder="1"/>
    <xf numFmtId="164" fontId="16" fillId="33" borderId="11" xfId="0" applyNumberFormat="1" applyFont="1" applyFill="1" applyBorder="1"/>
    <xf numFmtId="170" fontId="0" fillId="0" borderId="0" xfId="1" applyNumberFormat="1" applyFont="1"/>
    <xf numFmtId="164" fontId="0" fillId="0" borderId="0" xfId="1" applyNumberFormat="1" applyFont="1"/>
    <xf numFmtId="1" fontId="0" fillId="0" borderId="0" xfId="1" applyNumberFormat="1" applyFont="1"/>
    <xf numFmtId="0" fontId="16" fillId="0" borderId="10" xfId="0" applyNumberFormat="1" applyFont="1" applyBorder="1"/>
    <xf numFmtId="9" fontId="16" fillId="0" borderId="10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Average of Payment rate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table'!$B$16:$B$18</c:f>
              <c:strCache>
                <c:ptCount val="3"/>
                <c:pt idx="0">
                  <c:v>Cele</c:v>
                </c:pt>
                <c:pt idx="1">
                  <c:v>Festac</c:v>
                </c:pt>
                <c:pt idx="2">
                  <c:v>Okota</c:v>
                </c:pt>
              </c:strCache>
            </c:strRef>
          </c:cat>
          <c:val>
            <c:numRef>
              <c:f>'Pivot table'!$C$16:$C$18</c:f>
              <c:numCache>
                <c:formatCode>0.00%</c:formatCode>
                <c:ptCount val="3"/>
                <c:pt idx="0">
                  <c:v>0.98089466883094178</c:v>
                </c:pt>
                <c:pt idx="1">
                  <c:v>0.97713938017975766</c:v>
                </c:pt>
                <c:pt idx="2">
                  <c:v>0.90104326087894104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8-4F82-A82D-E5231DD56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808815"/>
        <c:axId val="1549430175"/>
      </c:barChart>
      <c:catAx>
        <c:axId val="170780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30175"/>
        <c:crosses val="autoZero"/>
        <c:auto val="1"/>
        <c:lblAlgn val="ctr"/>
        <c:lblOffset val="100"/>
        <c:noMultiLvlLbl val="0"/>
      </c:catAx>
      <c:valAx>
        <c:axId val="154943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0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table'!$C$31</c:f>
              <c:strCache>
                <c:ptCount val="1"/>
                <c:pt idx="0">
                  <c:v>Total expected as of today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table'!$B$32:$B$34</c:f>
              <c:strCache>
                <c:ptCount val="3"/>
                <c:pt idx="0">
                  <c:v>Cele</c:v>
                </c:pt>
                <c:pt idx="1">
                  <c:v>Festac</c:v>
                </c:pt>
                <c:pt idx="2">
                  <c:v>Okota</c:v>
                </c:pt>
              </c:strCache>
            </c:strRef>
          </c:cat>
          <c:val>
            <c:numRef>
              <c:f>'Pivot table'!$C$32:$C$34</c:f>
              <c:numCache>
                <c:formatCode>#,##0;[Red]#,##0</c:formatCode>
                <c:ptCount val="3"/>
                <c:pt idx="0">
                  <c:v>203597000</c:v>
                </c:pt>
                <c:pt idx="1">
                  <c:v>201746000</c:v>
                </c:pt>
                <c:pt idx="2">
                  <c:v>196680000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0-43A4-B0CA-6639AF70CCF4}"/>
            </c:ext>
          </c:extLst>
        </c:ser>
        <c:ser>
          <c:idx val="1"/>
          <c:order val="1"/>
          <c:tx>
            <c:strRef>
              <c:f>'Pivot table'!$D$31</c:f>
              <c:strCache>
                <c:ptCount val="1"/>
                <c:pt idx="0">
                  <c:v> Total Received as of today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table'!$B$32:$B$34</c:f>
              <c:strCache>
                <c:ptCount val="3"/>
                <c:pt idx="0">
                  <c:v>Cele</c:v>
                </c:pt>
                <c:pt idx="1">
                  <c:v>Festac</c:v>
                </c:pt>
                <c:pt idx="2">
                  <c:v>Okota</c:v>
                </c:pt>
              </c:strCache>
            </c:strRef>
          </c:cat>
          <c:val>
            <c:numRef>
              <c:f>'Pivot table'!$D$32:$D$34</c:f>
              <c:numCache>
                <c:formatCode>#,##0;[Red]#,##0</c:formatCode>
                <c:ptCount val="3"/>
                <c:pt idx="0">
                  <c:v>196372223</c:v>
                </c:pt>
                <c:pt idx="1">
                  <c:v>194726856</c:v>
                </c:pt>
                <c:pt idx="2">
                  <c:v>175144730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0-43A4-B0CA-6639AF70C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205135"/>
        <c:axId val="1537198431"/>
      </c:barChart>
      <c:catAx>
        <c:axId val="173920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198431"/>
        <c:crosses val="autoZero"/>
        <c:auto val="1"/>
        <c:lblAlgn val="ctr"/>
        <c:lblOffset val="100"/>
        <c:noMultiLvlLbl val="0"/>
      </c:catAx>
      <c:valAx>
        <c:axId val="153719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0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table'!$C$122</c:f>
              <c:strCache>
                <c:ptCount val="1"/>
                <c:pt idx="0">
                  <c:v>Average of Payment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'Pivot table'!$A$123:$A$127</c15:sqref>
                  </c15:fullRef>
                </c:ext>
              </c:extLst>
              <c:f>('Pivot table'!$A$123,'Pivot table'!$A$125,'Pivot table'!$A$127)</c:f>
              <c:strCache>
                <c:ptCount val="3"/>
                <c:pt idx="0">
                  <c:v>Emeka Okoro(Cele)</c:v>
                </c:pt>
                <c:pt idx="1">
                  <c:v>Musa Okafor(Festac)</c:v>
                </c:pt>
                <c:pt idx="2">
                  <c:v>Daniel Lawal(Okota)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'Pivot table'!$C$123:$C$127</c15:sqref>
                  </c15:fullRef>
                </c:ext>
              </c:extLst>
              <c:f>('Pivot table'!$C$123,'Pivot table'!$C$125,'Pivot table'!$C$127)</c:f>
              <c:numCache>
                <c:formatCode>General</c:formatCode>
                <c:ptCount val="3"/>
                <c:pt idx="0">
                  <c:v>0.58840310731215661</c:v>
                </c:pt>
                <c:pt idx="1">
                  <c:v>0.53385550935550941</c:v>
                </c:pt>
                <c:pt idx="2">
                  <c:v>0.54634469854469858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C-470E-9F77-97E8D0848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0002847"/>
        <c:axId val="1468191039"/>
      </c:barChart>
      <c:catAx>
        <c:axId val="168000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91039"/>
        <c:crosses val="autoZero"/>
        <c:auto val="1"/>
        <c:lblAlgn val="ctr"/>
        <c:lblOffset val="100"/>
        <c:noMultiLvlLbl val="0"/>
      </c:catAx>
      <c:valAx>
        <c:axId val="146819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0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[project_1_mobility_operations_dataset.xlsx]Pivot table!PivotTable17</c:name>
    <c:fmtId val="1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469816272965873E-2"/>
          <c:y val="0.23550707203266255"/>
          <c:w val="0.78883092738407701"/>
          <c:h val="0.28974117818606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table'!$B$142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table'!$A$143:$A$152</c:f>
              <c:multiLvlStrCache>
                <c:ptCount val="6"/>
                <c:lvl>
                  <c:pt idx="0">
                    <c:v>Compliant</c:v>
                  </c:pt>
                  <c:pt idx="1">
                    <c:v>Non-compliant</c:v>
                  </c:pt>
                  <c:pt idx="2">
                    <c:v>Compliant</c:v>
                  </c:pt>
                  <c:pt idx="3">
                    <c:v>Non-compliant</c:v>
                  </c:pt>
                  <c:pt idx="4">
                    <c:v>Compliant</c:v>
                  </c:pt>
                  <c:pt idx="5">
                    <c:v>Non-compliant</c:v>
                  </c:pt>
                </c:lvl>
                <c:lvl>
                  <c:pt idx="0">
                    <c:v>Cele</c:v>
                  </c:pt>
                  <c:pt idx="2">
                    <c:v>Festac</c:v>
                  </c:pt>
                  <c:pt idx="4">
                    <c:v>Okota</c:v>
                  </c:pt>
                </c:lvl>
              </c:multiLvlStrCache>
            </c:multiLvlStrRef>
          </c:cat>
          <c:val>
            <c:numRef>
              <c:f>'Pivot table'!$B$143:$B$152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22</c:v>
                </c:pt>
                <c:pt idx="3">
                  <c:v>28</c:v>
                </c:pt>
                <c:pt idx="4">
                  <c:v>14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D-4E78-9BB0-1F8D65301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9206991"/>
        <c:axId val="1685418815"/>
        <c:axId val="0"/>
      </c:bar3DChart>
      <c:catAx>
        <c:axId val="173920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18815"/>
        <c:crosses val="autoZero"/>
        <c:auto val="1"/>
        <c:lblAlgn val="ctr"/>
        <c:lblOffset val="100"/>
        <c:noMultiLvlLbl val="0"/>
      </c:catAx>
      <c:valAx>
        <c:axId val="168541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20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[project_1_mobility_operations_dataset.xlsx]Pivot table!PivotTable18</c:name>
    <c:fmtId val="0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table'!$A$160:$A$170</c:f>
              <c:multiLvlStrCache>
                <c:ptCount val="7"/>
                <c:lvl>
                  <c:pt idx="0">
                    <c:v>Active</c:v>
                  </c:pt>
                  <c:pt idx="1">
                    <c:v>Frozen</c:v>
                  </c:pt>
                  <c:pt idx="2">
                    <c:v>Active</c:v>
                  </c:pt>
                  <c:pt idx="3">
                    <c:v>Frozen</c:v>
                  </c:pt>
                  <c:pt idx="4">
                    <c:v>Active</c:v>
                  </c:pt>
                  <c:pt idx="5">
                    <c:v>Frozen</c:v>
                  </c:pt>
                  <c:pt idx="6">
                    <c:v>recovered</c:v>
                  </c:pt>
                </c:lvl>
                <c:lvl>
                  <c:pt idx="0">
                    <c:v>Cele</c:v>
                  </c:pt>
                  <c:pt idx="2">
                    <c:v>Festac</c:v>
                  </c:pt>
                  <c:pt idx="4">
                    <c:v>Okota</c:v>
                  </c:pt>
                </c:lvl>
              </c:multiLvlStrCache>
            </c:multiLvlStrRef>
          </c:cat>
          <c:val>
            <c:numRef>
              <c:f>'Pivot table'!$B$160:$B$170</c:f>
              <c:numCache>
                <c:formatCode>General</c:formatCode>
                <c:ptCount val="7"/>
                <c:pt idx="0">
                  <c:v>39</c:v>
                </c:pt>
                <c:pt idx="1">
                  <c:v>11</c:v>
                </c:pt>
                <c:pt idx="2">
                  <c:v>41</c:v>
                </c:pt>
                <c:pt idx="3">
                  <c:v>9</c:v>
                </c:pt>
                <c:pt idx="4">
                  <c:v>40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2-46F4-A5E6-2CC94C6C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8555967"/>
        <c:axId val="1685421215"/>
        <c:axId val="0"/>
      </c:bar3DChart>
      <c:catAx>
        <c:axId val="153855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21215"/>
        <c:crosses val="autoZero"/>
        <c:auto val="1"/>
        <c:lblAlgn val="ctr"/>
        <c:lblOffset val="100"/>
        <c:noMultiLvlLbl val="0"/>
      </c:catAx>
      <c:valAx>
        <c:axId val="168542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55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[project_1_mobility_operations_dataset.xlsx]Pivot table!PivotTable19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table'!$A$177:$A$189</c:f>
              <c:multiLvlStrCache>
                <c:ptCount val="9"/>
                <c:lvl>
                  <c:pt idx="0">
                    <c:v>Good</c:v>
                  </c:pt>
                  <c:pt idx="1">
                    <c:v>Needs Monitoring</c:v>
                  </c:pt>
                  <c:pt idx="2">
                    <c:v>Poor</c:v>
                  </c:pt>
                  <c:pt idx="3">
                    <c:v>Good</c:v>
                  </c:pt>
                  <c:pt idx="4">
                    <c:v>Needs Monitoring</c:v>
                  </c:pt>
                  <c:pt idx="5">
                    <c:v>Poor</c:v>
                  </c:pt>
                  <c:pt idx="6">
                    <c:v>Good</c:v>
                  </c:pt>
                  <c:pt idx="7">
                    <c:v>Needs Monitoring</c:v>
                  </c:pt>
                  <c:pt idx="8">
                    <c:v>Poor</c:v>
                  </c:pt>
                </c:lvl>
                <c:lvl>
                  <c:pt idx="0">
                    <c:v>Cele</c:v>
                  </c:pt>
                  <c:pt idx="3">
                    <c:v>Festac</c:v>
                  </c:pt>
                  <c:pt idx="6">
                    <c:v>Okota</c:v>
                  </c:pt>
                </c:lvl>
              </c:multiLvlStrCache>
            </c:multiLvlStrRef>
          </c:cat>
          <c:val>
            <c:numRef>
              <c:f>'Pivot table'!$B$177:$B$189</c:f>
              <c:numCache>
                <c:formatCode>General</c:formatCode>
                <c:ptCount val="9"/>
                <c:pt idx="0">
                  <c:v>27</c:v>
                </c:pt>
                <c:pt idx="1">
                  <c:v>18</c:v>
                </c:pt>
                <c:pt idx="2">
                  <c:v>5</c:v>
                </c:pt>
                <c:pt idx="3">
                  <c:v>30</c:v>
                </c:pt>
                <c:pt idx="4">
                  <c:v>15</c:v>
                </c:pt>
                <c:pt idx="5">
                  <c:v>5</c:v>
                </c:pt>
                <c:pt idx="6">
                  <c:v>21</c:v>
                </c:pt>
                <c:pt idx="7">
                  <c:v>19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8-40EF-8326-E636F93E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2599663"/>
        <c:axId val="1685424575"/>
        <c:axId val="0"/>
      </c:bar3DChart>
      <c:catAx>
        <c:axId val="16825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424575"/>
        <c:crosses val="autoZero"/>
        <c:auto val="1"/>
        <c:lblAlgn val="ctr"/>
        <c:lblOffset val="100"/>
        <c:noMultiLvlLbl val="0"/>
      </c:catAx>
      <c:valAx>
        <c:axId val="168542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59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13</xdr:row>
      <xdr:rowOff>52387</xdr:rowOff>
    </xdr:from>
    <xdr:to>
      <xdr:col>9</xdr:col>
      <xdr:colOff>304800</xdr:colOff>
      <xdr:row>27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9104ED-9AFB-C6E5-6089-A54103806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29</xdr:row>
      <xdr:rowOff>147637</xdr:rowOff>
    </xdr:from>
    <xdr:to>
      <xdr:col>9</xdr:col>
      <xdr:colOff>295275</xdr:colOff>
      <xdr:row>44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B96877-6628-CB19-645C-9CEB67908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762000</xdr:colOff>
      <xdr:row>118</xdr:row>
      <xdr:rowOff>104774</xdr:rowOff>
    </xdr:from>
    <xdr:to>
      <xdr:col>9</xdr:col>
      <xdr:colOff>466725</xdr:colOff>
      <xdr:row>131</xdr:row>
      <xdr:rowOff>166685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94619B-180A-9DAF-83D1-E89AB6CE9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304800</xdr:colOff>
      <xdr:row>140</xdr:row>
      <xdr:rowOff>185737</xdr:rowOff>
    </xdr:from>
    <xdr:to>
      <xdr:col>5</xdr:col>
      <xdr:colOff>685800</xdr:colOff>
      <xdr:row>155</xdr:row>
      <xdr:rowOff>71437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4D6D94-F1BB-A5F4-A5CB-C5CDC5346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257175</xdr:colOff>
      <xdr:row>157</xdr:row>
      <xdr:rowOff>52387</xdr:rowOff>
    </xdr:from>
    <xdr:to>
      <xdr:col>5</xdr:col>
      <xdr:colOff>638175</xdr:colOff>
      <xdr:row>171</xdr:row>
      <xdr:rowOff>128587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477542F-6095-B327-639C-BF7BB681F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542925</xdr:colOff>
      <xdr:row>175</xdr:row>
      <xdr:rowOff>4762</xdr:rowOff>
    </xdr:from>
    <xdr:to>
      <xdr:col>5</xdr:col>
      <xdr:colOff>923925</xdr:colOff>
      <xdr:row>191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75B37EB-2622-63A4-EF1C-F8203FBE5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798397685183" createdVersion="8" refreshedVersion="8" minRefreshableVersion="3" recordCount="150" xr:uid="{E0F7D543-58D0-48FE-BDB7-258F0F223406}">
  <cacheSource type="worksheet">
    <worksheetSource ref="A1:X151" sheet="project_1_mobility_operations_d"/>
  </cacheSource>
  <cacheFields count="24">
    <cacheField name="start_date" numFmtId="166">
      <sharedItems containsSemiMixedTypes="0" containsNonDate="0" containsDate="1" containsString="0" minDate="2025-03-01T00:00:00" maxDate="2025-08-27T00:00:00"/>
    </cacheField>
    <cacheField name="No_of_Days" numFmtId="0">
      <sharedItems containsSemiMixedTypes="0" containsString="0" containsNumber="1" containsInteger="1" minValue="329" maxValue="481"/>
    </cacheField>
    <cacheField name="Total contract amount" numFmtId="164">
      <sharedItems containsSemiMixedTypes="0" containsString="0" containsNumber="1" containsInteger="1" minValue="6000000" maxValue="6000000"/>
    </cacheField>
    <cacheField name="exp_daily_rep" numFmtId="164">
      <sharedItems containsSemiMixedTypes="0" containsString="0" containsNumber="1" containsInteger="1" minValue="9000" maxValue="11000"/>
    </cacheField>
    <cacheField name="exp_weekly-pay" numFmtId="164">
      <sharedItems containsSemiMixedTypes="0" containsString="0" containsNumber="1" containsInteger="1" minValue="54000" maxValue="66000"/>
    </cacheField>
    <cacheField name="down_payment" numFmtId="164">
      <sharedItems containsSemiMixedTypes="0" containsString="0" containsNumber="1" containsInteger="1" minValue="50000" maxValue="100000"/>
    </cacheField>
    <cacheField name="Due today" numFmtId="164">
      <sharedItems containsSemiMixedTypes="0" containsString="0" containsNumber="1" containsInteger="1" minValue="3024000" maxValue="5280000"/>
    </cacheField>
    <cacheField name="unique_id" numFmtId="0">
      <sharedItems count="150">
        <s v="MOVE1000000"/>
        <s v="MOVE1000001"/>
        <s v="MOVE1000002"/>
        <s v="MOVE1000003"/>
        <s v="MOVE1000004"/>
        <s v="MOVE1000005"/>
        <s v="MOVE1000006"/>
        <s v="MOVE1000007"/>
        <s v="MOVE1000008"/>
        <s v="MOVE1000009"/>
        <s v="MOVE1000010"/>
        <s v="MOVE1000011"/>
        <s v="MOVE1000012"/>
        <s v="MOVE1000013"/>
        <s v="MOVE1000014"/>
        <s v="MOVE1000015"/>
        <s v="MOVE1000016"/>
        <s v="MOVE1000017"/>
        <s v="MOVE1000018"/>
        <s v="MOVE1000019"/>
        <s v="MOVE1000020"/>
        <s v="MOVE1000021"/>
        <s v="MOVE1000022"/>
        <s v="MOVE1000023"/>
        <s v="MOVE1000024"/>
        <s v="MOVE1000025"/>
        <s v="MOVE1000026"/>
        <s v="MOVE1000027"/>
        <s v="MOVE1000028"/>
        <s v="MOVE1000029"/>
        <s v="MOVE1000030"/>
        <s v="MOVE1000031"/>
        <s v="MOVE1000032"/>
        <s v="MOVE1000033"/>
        <s v="MOVE1000034"/>
        <s v="MOVE1000035"/>
        <s v="MOVE1000036"/>
        <s v="MOVE1000037"/>
        <s v="MOVE1000038"/>
        <s v="MOVE1000039"/>
        <s v="MOVE1000040"/>
        <s v="MOVE1000041"/>
        <s v="MOVE1000042"/>
        <s v="MOVE1000043"/>
        <s v="MOVE1000044"/>
        <s v="MOVE1000045"/>
        <s v="MOVE1000046"/>
        <s v="MOVE1000047"/>
        <s v="MOVE1000048"/>
        <s v="MOVE1000049"/>
        <s v="MOVE1000050"/>
        <s v="MOVE1000051"/>
        <s v="MOVE1000052"/>
        <s v="MOVE1000053"/>
        <s v="MOVE1000054"/>
        <s v="MOVE1000055"/>
        <s v="MOVE1000056"/>
        <s v="MOVE1000057"/>
        <s v="MOVE1000058"/>
        <s v="MOVE1000059"/>
        <s v="MOVE1000060"/>
        <s v="MOVE1000061"/>
        <s v="MOVE1000062"/>
        <s v="MOVE1000063"/>
        <s v="MOVE1000064"/>
        <s v="MOVE1000065"/>
        <s v="MOVE1000066"/>
        <s v="MOVE1000067"/>
        <s v="MOVE1000068"/>
        <s v="MOVE1000069"/>
        <s v="MOVE1000070"/>
        <s v="MOVE1000071"/>
        <s v="MOVE1000072"/>
        <s v="MOVE1000073"/>
        <s v="MOVE1000074"/>
        <s v="MOVE1000075"/>
        <s v="MOVE1000076"/>
        <s v="MOVE1000077"/>
        <s v="MOVE1000078"/>
        <s v="MOVE1000079"/>
        <s v="MOVE1000080"/>
        <s v="MOVE1000081"/>
        <s v="MOVE1000082"/>
        <s v="MOVE1000083"/>
        <s v="MOVE1000084"/>
        <s v="MOVE1000085"/>
        <s v="MOVE1000086"/>
        <s v="MOVE1000087"/>
        <s v="MOVE1000088"/>
        <s v="MOVE1000089"/>
        <s v="MOVE1000090"/>
        <s v="MOVE1000091"/>
        <s v="MOVE1000092"/>
        <s v="MOVE1000093"/>
        <s v="MOVE1000094"/>
        <s v="MOVE1000095"/>
        <s v="MOVE1000096"/>
        <s v="MOVE1000097"/>
        <s v="MOVE1000098"/>
        <s v="MOVE1000099"/>
        <s v="MOVE1000100"/>
        <s v="MOVE1000101"/>
        <s v="MOVE1000102"/>
        <s v="MOVE1000103"/>
        <s v="MOVE1000104"/>
        <s v="MOVE1000105"/>
        <s v="MOVE1000106"/>
        <s v="MOVE1000107"/>
        <s v="MOVE1000108"/>
        <s v="MOVE1000109"/>
        <s v="MOVE1000110"/>
        <s v="MOVE1000111"/>
        <s v="MOVE1000112"/>
        <s v="MOVE1000113"/>
        <s v="MOVE1000114"/>
        <s v="MOVE1000115"/>
        <s v="MOVE1000116"/>
        <s v="MOVE1000117"/>
        <s v="MOVE1000118"/>
        <s v="MOVE1000119"/>
        <s v="MOVE1000120"/>
        <s v="MOVE1000121"/>
        <s v="MOVE1000122"/>
        <s v="MOVE1000123"/>
        <s v="MOVE1000124"/>
        <s v="MOVE1000125"/>
        <s v="MOVE1000126"/>
        <s v="MOVE1000127"/>
        <s v="MOVE1000128"/>
        <s v="MOVE1000129"/>
        <s v="MOVE1000130"/>
        <s v="MOVE1000131"/>
        <s v="MOVE1000132"/>
        <s v="MOVE1000133"/>
        <s v="MOVE1000134"/>
        <s v="MOVE1000135"/>
        <s v="MOVE1000136"/>
        <s v="MOVE1000137"/>
        <s v="MOVE1000138"/>
        <s v="MOVE1000139"/>
        <s v="MOVE1000140"/>
        <s v="MOVE1000141"/>
        <s v="MOVE1000142"/>
        <s v="MOVE1000143"/>
        <s v="MOVE1000144"/>
        <s v="MOVE1000145"/>
        <s v="MOVE1000146"/>
        <s v="MOVE1000147"/>
        <s v="MOVE1000148"/>
        <s v="MOVE1000149"/>
      </sharedItems>
    </cacheField>
    <cacheField name="Status" numFmtId="0">
      <sharedItems/>
    </cacheField>
    <cacheField name="number_plate" numFmtId="0">
      <sharedItems/>
    </cacheField>
    <cacheField name="full_name" numFmtId="0">
      <sharedItems/>
    </cacheField>
    <cacheField name="account_number" numFmtId="0">
      <sharedItems containsSemiMixedTypes="0" containsString="0" containsNumber="1" containsInteger="1" minValue="1000000000" maxValue="1000000149"/>
    </cacheField>
    <cacheField name="Total Received" numFmtId="164">
      <sharedItems containsSemiMixedTypes="0" containsString="0" containsNumber="1" containsInteger="1" minValue="2148847" maxValue="5968500" count="149">
        <n v="3111227"/>
        <n v="3405943"/>
        <n v="3656796"/>
        <n v="2946949"/>
        <n v="3454652"/>
        <n v="3837891"/>
        <n v="5418043"/>
        <n v="3490896"/>
        <n v="3329579"/>
        <n v="2919733"/>
        <n v="5819111"/>
        <n v="3200100"/>
        <n v="4493876"/>
        <n v="2727200"/>
        <n v="3298421"/>
        <n v="3128364"/>
        <n v="4939967"/>
        <n v="4392657"/>
        <n v="5322598"/>
        <n v="2567845"/>
        <n v="3000000"/>
        <n v="3479509"/>
        <n v="3628975"/>
        <n v="3844560"/>
        <n v="3406613"/>
        <n v="4295827"/>
        <n v="3683875"/>
        <n v="4091382"/>
        <n v="3989141"/>
        <n v="4051111"/>
        <n v="4886057"/>
        <n v="2915936"/>
        <n v="5719384"/>
        <n v="4051901"/>
        <n v="3580944"/>
        <n v="3757133"/>
        <n v="4562937"/>
        <n v="2725337"/>
        <n v="4496843"/>
        <n v="4547059"/>
        <n v="3635324"/>
        <n v="5395656"/>
        <n v="2962730"/>
        <n v="4838227"/>
        <n v="4785723"/>
        <n v="3546788"/>
        <n v="3530223"/>
        <n v="4743594"/>
        <n v="3363481"/>
        <n v="3748738"/>
        <n v="2542512"/>
        <n v="2713532"/>
        <n v="4421074"/>
        <n v="4875442"/>
        <n v="3529238"/>
        <n v="2505084"/>
        <n v="3196333"/>
        <n v="3164058"/>
        <n v="3344460"/>
        <n v="5134715"/>
        <n v="4220989"/>
        <n v="4521771"/>
        <n v="4294059"/>
        <n v="2627918"/>
        <n v="5272616"/>
        <n v="2965388"/>
        <n v="2905256"/>
        <n v="3292623"/>
        <n v="2772956"/>
        <n v="4247372"/>
        <n v="3769368"/>
        <n v="2705370"/>
        <n v="3704404"/>
        <n v="2583761"/>
        <n v="3482558"/>
        <n v="4928441"/>
        <n v="3145605"/>
        <n v="3079287"/>
        <n v="2890000"/>
        <n v="2771602"/>
        <n v="2457110"/>
        <n v="4152769"/>
        <n v="3677324"/>
        <n v="4342737"/>
        <n v="2799379"/>
        <n v="2148847"/>
        <n v="2966346"/>
        <n v="3731621"/>
        <n v="2970859"/>
        <n v="3717071"/>
        <n v="2970737"/>
        <n v="3225602"/>
        <n v="3146210"/>
        <n v="5489729"/>
        <n v="3347845"/>
        <n v="3617600"/>
        <n v="4374772"/>
        <n v="3475174"/>
        <n v="3519460"/>
        <n v="3405746"/>
        <n v="3725011"/>
        <n v="4317359"/>
        <n v="2817217"/>
        <n v="5456513"/>
        <n v="3732258"/>
        <n v="4024004"/>
        <n v="3365020"/>
        <n v="3794814"/>
        <n v="4278883"/>
        <n v="4993289"/>
        <n v="3568535"/>
        <n v="3915001"/>
        <n v="3768467"/>
        <n v="3791667"/>
        <n v="2681677"/>
        <n v="2921508"/>
        <n v="4351600"/>
        <n v="3201904"/>
        <n v="2777770"/>
        <n v="4069028"/>
        <n v="4449267"/>
        <n v="2454832"/>
        <n v="3701459"/>
        <n v="5759805"/>
        <n v="3222624"/>
        <n v="5968500"/>
        <n v="2423590"/>
        <n v="4977029"/>
        <n v="5238269"/>
        <n v="3700133"/>
        <n v="2233406"/>
        <n v="3669118"/>
        <n v="4709067"/>
        <n v="2938852"/>
        <n v="5192535"/>
        <n v="4098372"/>
        <n v="3178280"/>
        <n v="4454002"/>
        <n v="3885635"/>
        <n v="4378226"/>
        <n v="5365844"/>
        <n v="3836399"/>
        <n v="5119868"/>
        <n v="4302505"/>
        <n v="3377074"/>
        <n v="3055977"/>
        <n v="3214018"/>
        <n v="5130314"/>
        <n v="3895698"/>
      </sharedItems>
    </cacheField>
    <cacheField name="Paid  week 1" numFmtId="164">
      <sharedItems containsSemiMixedTypes="0" containsString="0" containsNumber="1" containsInteger="1" minValue="0" maxValue="77000"/>
    </cacheField>
    <cacheField name="Outstanding" numFmtId="164">
      <sharedItems containsSemiMixedTypes="0" containsString="0" containsNumber="1" containsInteger="1" minValue="-2134844" maxValue="2436594"/>
    </cacheField>
    <cacheField name="Remaining balance" numFmtId="164">
      <sharedItems containsSemiMixedTypes="0" containsString="0" containsNumber="1" containsInteger="1" minValue="31500" maxValue="3851153"/>
    </cacheField>
    <cacheField name="Asset status" numFmtId="0">
      <sharedItems/>
    </cacheField>
    <cacheField name="Location" numFmtId="0">
      <sharedItems count="3">
        <s v="Festac"/>
        <s v="Okota"/>
        <s v="Cele"/>
      </sharedItems>
    </cacheField>
    <cacheField name="Payment progress" numFmtId="9">
      <sharedItems containsSemiMixedTypes="0" containsString="0" containsNumber="1" minValue="0.35814116666666668" maxValue="0.99475000000000002"/>
    </cacheField>
    <cacheField name="Payment rate" numFmtId="9">
      <sharedItems containsSemiMixedTypes="0" containsString="0" containsNumber="1" minValue="0.47824539614561029" maxValue="1.6607378520581864" count="150">
        <n v="0.65637700421940925"/>
        <n v="0.96485637393767709"/>
        <n v="0.79323123644251625"/>
        <n v="0.85667122093023251"/>
        <n v="0.90435916230366498"/>
        <n v="0.8605136771300449"/>
        <n v="1.0524559052059053"/>
        <n v="1.0804382544103992"/>
        <n v="0.96790087209302322"/>
        <n v="0.71143591617933721"/>
        <n v="1.5684935309973045"/>
        <n v="0.77861313868613136"/>
        <n v="1.0894244848484849"/>
        <n v="0.81408955223880597"/>
        <n v="0.93439688385269126"/>
        <n v="0.82760952380952379"/>
        <n v="1.3326050714863771"/>
        <n v="0.90757376033057846"/>
        <n v="1.3329822188830454"/>
        <n v="0.53385550935550941"/>
        <n v="0.66035659255998236"/>
        <n v="0.74507687366167019"/>
        <n v="0.94875163398692808"/>
        <n v="1.1211898512685914"/>
        <n v="0.88483454545454543"/>
        <n v="1.0228159523809524"/>
        <n v="0.97225521245711266"/>
        <n v="0.8798670967741935"/>
        <n v="1.0998458781362008"/>
        <n v="1.016080010032606"/>
        <n v="1.1160477386934673"/>
        <n v="0.66422232346241461"/>
        <n v="1.2233976470588235"/>
        <n v="1.2682006259780907"/>
        <n v="1.1841746031746032"/>
        <n v="0.9633674358974359"/>
        <n v="1.0718668076109936"/>
        <n v="0.58989978354978356"/>
        <n v="1.3079822571262363"/>
        <n v="1.0626452442159382"/>
        <n v="1.0518877314814814"/>
        <n v="1.4259133192389006"/>
        <n v="0.73316753278891367"/>
        <n v="1.2301619628782101"/>
        <n v="1.1952355144855145"/>
        <n v="0.86803426333822808"/>
        <n v="0.83064070588235295"/>
        <n v="1.1408354978354978"/>
        <n v="0.76791803652968038"/>
        <n v="0.84241303370786513"/>
        <n v="0.77045818181818182"/>
        <n v="0.64561789198191766"/>
        <n v="1.2046523160762943"/>
        <n v="1.27296135770235"/>
        <n v="0.97063751375137519"/>
        <n v="0.69585666666666668"/>
        <n v="1.0569884259259259"/>
        <n v="0.73412018561484915"/>
        <n v="0.77418055555555554"/>
        <n v="1.5013786549707602"/>
        <n v="0.84150498405103669"/>
        <n v="1.2560475"/>
        <n v="0.94292028985507248"/>
        <n v="0.54634469854469858"/>
        <n v="1.1121316178021514"/>
        <n v="0.63634935622317601"/>
        <n v="0.7809827956989247"/>
        <n v="0.89619569951007072"/>
        <n v="0.81080584795321642"/>
        <n v="1.149180735930736"/>
        <n v="0.94399398948159274"/>
        <n v="0.74754628350373031"/>
        <n v="0.77954629629629635"/>
        <n v="0.71771138888888886"/>
        <n v="0.80447170247170252"/>
        <n v="1.1991340632603407"/>
        <n v="0.93702859696157281"/>
        <n v="0.68428599999999995"/>
        <n v="0.78660860097985852"/>
        <n v="0.65275600565237868"/>
        <n v="0.63491214470284241"/>
        <n v="1.3034428750784683"/>
        <n v="1.0640405092592593"/>
        <n v="1.154983244680851"/>
        <n v="0.84573383685800607"/>
        <n v="0.55814207792207793"/>
        <n v="0.81717520661157028"/>
        <n v="0.98459656992084432"/>
        <n v="0.74086259351620942"/>
        <n v="1.0932561764705881"/>
        <n v="0.6444114967462039"/>
        <n v="0.85333386243386244"/>
        <n v="0.67226709401709406"/>
        <n v="1.0992649179014817"/>
        <n v="0.82662839506172836"/>
        <n v="0.84091120409112041"/>
        <n v="1.2691534667827096"/>
        <n v="0.98002650874224473"/>
        <n v="0.92739393939393944"/>
        <n v="0.88922872062663183"/>
        <n v="1.0347252777777778"/>
        <n v="1.3589420837267863"/>
        <n v="0.62884308035714287"/>
        <n v="1.4719484758564878"/>
        <n v="0.82939066666666672"/>
        <n v="1.1271719887955183"/>
        <n v="0.86282564102564108"/>
        <n v="0.87640046189376442"/>
        <n v="0.81039450757575759"/>
        <n v="0.95969421487603301"/>
        <n v="0.66851723340272962"/>
        <n v="0.86196497584541065"/>
        <n v="0.96666691358024692"/>
        <n v="1.1018909356725146"/>
        <n v="0.92910242587601077"/>
        <n v="0.75753587570621472"/>
        <n v="0.71781523341523346"/>
        <n v="1.0360952380952382"/>
        <n v="0.86374534664148905"/>
        <n v="0.74550993022007517"/>
        <n v="0.92017819990954319"/>
        <n v="1.1992633423180592"/>
        <n v="0.62783427109974421"/>
        <n v="0.84315694760820048"/>
        <n v="1.3150239726027397"/>
        <n v="0.8028460388639761"/>
        <n v="1.5303846153846155"/>
        <n v="0.53857555555555559"/>
        <n v="1.1569105067410508"/>
        <n v="1.1121590233545648"/>
        <n v="0.91361308641975314"/>
        <n v="0.47824539614561029"/>
        <n v="0.903723645320197"/>
        <n v="1.5254509232264335"/>
        <n v="0.79065160075329566"/>
        <n v="1.5362529585798816"/>
        <n v="1.1136880434782608"/>
        <n v="0.82767708333333334"/>
        <n v="1.1839452418926104"/>
        <n v="0.75640159626240999"/>
        <n v="1.0461710872162484"/>
        <n v="1.6607378520581864"/>
        <n v="0.82326158798283267"/>
        <n v="1.0412584909497662"/>
        <n v="1.261361770741718"/>
        <n v="0.91075350593311755"/>
        <n v="0.82149919354838707"/>
        <n v="0.73379406392694069"/>
        <n v="1.1713045662100456"/>
        <n v="0.88942876712328767"/>
      </sharedItems>
    </cacheField>
    <cacheField name="Week 1 payment rate" numFmtId="9">
      <sharedItems containsSemiMixedTypes="0" containsString="0" containsNumber="1" minValue="0" maxValue="1.1666666666666667"/>
    </cacheField>
    <cacheField name="Days behind" numFmtId="164">
      <sharedItems containsSemiMixedTypes="0" containsString="0" containsNumber="1" minValue="-237.20488888888889" maxValue="243.65940000000001"/>
    </cacheField>
    <cacheField name="Repayment performance Category" numFmtId="0">
      <sharedItems/>
    </cacheField>
    <cacheField name="Rider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7.994973611108" createdVersion="8" refreshedVersion="8" minRefreshableVersion="3" recordCount="160" xr:uid="{1A6E781C-0FAF-4A82-BBD6-D67DD47263E4}">
  <cacheSource type="worksheet">
    <worksheetSource ref="A1:X1048576" sheet="project_1_mobility_operations_d"/>
  </cacheSource>
  <cacheFields count="24">
    <cacheField name="start_date" numFmtId="166">
      <sharedItems containsNonDate="0" containsDate="1" containsString="0" containsBlank="1" minDate="2025-03-01T00:00:00" maxDate="2025-08-27T00:00:00"/>
    </cacheField>
    <cacheField name="No_of_Days" numFmtId="0">
      <sharedItems containsString="0" containsBlank="1" containsNumber="1" containsInteger="1" minValue="329" maxValue="481"/>
    </cacheField>
    <cacheField name="Total contract amount" numFmtId="164">
      <sharedItems containsString="0" containsBlank="1" containsNumber="1" containsInteger="1" minValue="6000000" maxValue="6000000"/>
    </cacheField>
    <cacheField name="exp_daily_rep" numFmtId="164">
      <sharedItems containsString="0" containsBlank="1" containsNumber="1" containsInteger="1" minValue="9000" maxValue="11000"/>
    </cacheField>
    <cacheField name="exp_weekly-pay" numFmtId="164">
      <sharedItems containsString="0" containsBlank="1" containsNumber="1" containsInteger="1" minValue="54000" maxValue="66000"/>
    </cacheField>
    <cacheField name="down_payment" numFmtId="164">
      <sharedItems containsString="0" containsBlank="1" containsNumber="1" containsInteger="1" minValue="50000" maxValue="100000"/>
    </cacheField>
    <cacheField name="Due today" numFmtId="164">
      <sharedItems containsString="0" containsBlank="1" containsNumber="1" containsInteger="1" minValue="3024000" maxValue="5280000"/>
    </cacheField>
    <cacheField name="unique_id" numFmtId="0">
      <sharedItems containsBlank="1" count="151">
        <s v="MOVE1000000"/>
        <s v="MOVE1000001"/>
        <s v="MOVE1000002"/>
        <s v="MOVE1000003"/>
        <s v="MOVE1000004"/>
        <s v="MOVE1000005"/>
        <s v="MOVE1000006"/>
        <s v="MOVE1000007"/>
        <s v="MOVE1000008"/>
        <s v="MOVE1000009"/>
        <s v="MOVE1000010"/>
        <s v="MOVE1000011"/>
        <s v="MOVE1000012"/>
        <s v="MOVE1000013"/>
        <s v="MOVE1000014"/>
        <s v="MOVE1000015"/>
        <s v="MOVE1000016"/>
        <s v="MOVE1000017"/>
        <s v="MOVE1000018"/>
        <s v="MOVE1000019"/>
        <s v="MOVE1000020"/>
        <s v="MOVE1000021"/>
        <s v="MOVE1000022"/>
        <s v="MOVE1000023"/>
        <s v="MOVE1000024"/>
        <s v="MOVE1000025"/>
        <s v="MOVE1000026"/>
        <s v="MOVE1000027"/>
        <s v="MOVE1000028"/>
        <s v="MOVE1000029"/>
        <s v="MOVE1000030"/>
        <s v="MOVE1000031"/>
        <s v="MOVE1000032"/>
        <s v="MOVE1000033"/>
        <s v="MOVE1000034"/>
        <s v="MOVE1000035"/>
        <s v="MOVE1000036"/>
        <s v="MOVE1000037"/>
        <s v="MOVE1000038"/>
        <s v="MOVE1000039"/>
        <s v="MOVE1000040"/>
        <s v="MOVE1000041"/>
        <s v="MOVE1000042"/>
        <s v="MOVE1000043"/>
        <s v="MOVE1000044"/>
        <s v="MOVE1000045"/>
        <s v="MOVE1000046"/>
        <s v="MOVE1000047"/>
        <s v="MOVE1000048"/>
        <s v="MOVE1000049"/>
        <s v="MOVE1000050"/>
        <s v="MOVE1000051"/>
        <s v="MOVE1000052"/>
        <s v="MOVE1000053"/>
        <s v="MOVE1000054"/>
        <s v="MOVE1000055"/>
        <s v="MOVE1000056"/>
        <s v="MOVE1000057"/>
        <s v="MOVE1000058"/>
        <s v="MOVE1000059"/>
        <s v="MOVE1000060"/>
        <s v="MOVE1000061"/>
        <s v="MOVE1000062"/>
        <s v="MOVE1000063"/>
        <s v="MOVE1000064"/>
        <s v="MOVE1000065"/>
        <s v="MOVE1000066"/>
        <s v="MOVE1000067"/>
        <s v="MOVE1000068"/>
        <s v="MOVE1000069"/>
        <s v="MOVE1000070"/>
        <s v="MOVE1000071"/>
        <s v="MOVE1000072"/>
        <s v="MOVE1000073"/>
        <s v="MOVE1000074"/>
        <s v="MOVE1000075"/>
        <s v="MOVE1000076"/>
        <s v="MOVE1000077"/>
        <s v="MOVE1000078"/>
        <s v="MOVE1000079"/>
        <s v="MOVE1000080"/>
        <s v="MOVE1000081"/>
        <s v="MOVE1000082"/>
        <s v="MOVE1000083"/>
        <s v="MOVE1000084"/>
        <s v="MOVE1000085"/>
        <s v="MOVE1000086"/>
        <s v="MOVE1000087"/>
        <s v="MOVE1000088"/>
        <s v="MOVE1000089"/>
        <s v="MOVE1000090"/>
        <s v="MOVE1000091"/>
        <s v="MOVE1000092"/>
        <s v="MOVE1000093"/>
        <s v="MOVE1000094"/>
        <s v="MOVE1000095"/>
        <s v="MOVE1000096"/>
        <s v="MOVE1000097"/>
        <s v="MOVE1000098"/>
        <s v="MOVE1000099"/>
        <s v="MOVE1000100"/>
        <s v="MOVE1000101"/>
        <s v="MOVE1000102"/>
        <s v="MOVE1000103"/>
        <s v="MOVE1000104"/>
        <s v="MOVE1000105"/>
        <s v="MOVE1000106"/>
        <s v="MOVE1000107"/>
        <s v="MOVE1000108"/>
        <s v="MOVE1000109"/>
        <s v="MOVE1000110"/>
        <s v="MOVE1000111"/>
        <s v="MOVE1000112"/>
        <s v="MOVE1000113"/>
        <s v="MOVE1000114"/>
        <s v="MOVE1000115"/>
        <s v="MOVE1000116"/>
        <s v="MOVE1000117"/>
        <s v="MOVE1000118"/>
        <s v="MOVE1000119"/>
        <s v="MOVE1000120"/>
        <s v="MOVE1000121"/>
        <s v="MOVE1000122"/>
        <s v="MOVE1000123"/>
        <s v="MOVE1000124"/>
        <s v="MOVE1000125"/>
        <s v="MOVE1000126"/>
        <s v="MOVE1000127"/>
        <s v="MOVE1000128"/>
        <s v="MOVE1000129"/>
        <s v="MOVE1000130"/>
        <s v="MOVE1000131"/>
        <s v="MOVE1000132"/>
        <s v="MOVE1000133"/>
        <s v="MOVE1000134"/>
        <s v="MOVE1000135"/>
        <s v="MOVE1000136"/>
        <s v="MOVE1000137"/>
        <s v="MOVE1000138"/>
        <s v="MOVE1000139"/>
        <s v="MOVE1000140"/>
        <s v="MOVE1000141"/>
        <s v="MOVE1000142"/>
        <s v="MOVE1000143"/>
        <s v="MOVE1000144"/>
        <s v="MOVE1000145"/>
        <s v="MOVE1000146"/>
        <s v="MOVE1000147"/>
        <s v="MOVE1000148"/>
        <s v="MOVE1000149"/>
        <m/>
      </sharedItems>
    </cacheField>
    <cacheField name="Status" numFmtId="0">
      <sharedItems containsBlank="1" count="5">
        <s v="Active"/>
        <s v="Frozen"/>
        <s v="recovered"/>
        <m/>
        <s v="Recovery" u="1"/>
      </sharedItems>
    </cacheField>
    <cacheField name="number_plate" numFmtId="0">
      <sharedItems containsBlank="1"/>
    </cacheField>
    <cacheField name="full_name" numFmtId="0">
      <sharedItems containsBlank="1" count="126">
        <s v="Tochukwu Bello"/>
        <s v="Tochukwu Williams"/>
        <s v="Victor Eze"/>
        <s v="Musa Bello"/>
        <s v="Tunde Eze"/>
        <s v="Daniel Ogunleye"/>
        <s v="Chinedu Balogun"/>
        <s v="Samuel Akinyemi"/>
        <s v="Bright Sule"/>
        <s v="Bright Akinyemi"/>
        <s v="Oluwaseun Okoro"/>
        <s v="Godwin Johnson"/>
        <s v="Ayomide Bello"/>
        <s v="Bright Salami"/>
        <s v="Adebayo Madu"/>
        <s v="Victor Bello"/>
        <s v="Kelvin Ojo"/>
        <s v="Tochukwu Eze"/>
        <s v="Musa Okafor"/>
        <s v="Michael Okafor"/>
        <s v="Emeka Johnson"/>
        <s v="Femi Bello"/>
        <s v="Yusuf Obi"/>
        <s v="Tunde Uche"/>
        <s v="Ibrahim Eze"/>
        <s v="Chinedu Bello"/>
        <s v="Kelvin Ogunleye"/>
        <s v="Yusuf Uche"/>
        <s v="Samuel Lawal"/>
        <s v="Tunde Akinyemi"/>
        <s v="Tunde Lawal"/>
        <s v="Musa Ogunleye"/>
        <s v="Femi Okoro"/>
        <s v="Michael Uche"/>
        <s v="Kelvin Balogun"/>
        <s v="Adebayo Nwosu"/>
        <s v="Yusuf Okoro"/>
        <s v="Tunde Sule"/>
        <s v="Samuel Adeyemi"/>
        <s v="Joseph Okoro"/>
        <s v="Victor Ogunleye"/>
        <s v="Tochukwu Obi"/>
        <s v="Adebayo Uche"/>
        <s v="Musa Johnson"/>
        <s v="Samuel Obi"/>
        <s v="Kelvin Akinyemi"/>
        <s v="Chinedu Adeyemi"/>
        <s v="Joseph Akinyemi"/>
        <s v="Musa Ojo"/>
        <s v="Joseph Ibrahim"/>
        <s v="Victor Lawal"/>
        <s v="Victor Johnson"/>
        <s v="Michael Bello"/>
        <s v="Yusuf Lawal"/>
        <s v="David Akinyemi"/>
        <s v="Chinedu Ogunleye"/>
        <s v="Daniel Okafor"/>
        <s v="Ayomide Nwosu"/>
        <s v="Joseph Nwosu"/>
        <s v="Daniel Lawal"/>
        <s v="Yusuf Abubakar"/>
        <s v="Emeka Lawal"/>
        <s v="Daniel Balogun"/>
        <s v="Musa Okoro"/>
        <s v="Oluwaseun Ogunleye"/>
        <s v="Adebayo Ogunleye"/>
        <s v="David Sule"/>
        <s v="David Uche"/>
        <s v="David Abubakar"/>
        <s v="Bright Obi"/>
        <s v="Chinedu Nwosu"/>
        <s v="Femi Abubakar"/>
        <s v="Yusuf Ojo"/>
        <s v="Musa Akinyemi"/>
        <s v="Michael Salami"/>
        <s v="Kelvin Johnson"/>
        <s v="Yusuf Balogun"/>
        <s v="Musa Adeyemi"/>
        <s v="David Adeyemi"/>
        <s v="Chinedu Okafor"/>
        <s v="Ibrahim Sule"/>
        <s v="Godwin Ogunleye"/>
        <s v="Femi Adeyemi"/>
        <s v="Samuel Salami"/>
        <s v="Godwin Lawal"/>
        <s v="Emeka Sule"/>
        <s v="Adebayo Okafor"/>
        <s v="Samuel Bello"/>
        <s v="Godwin Ibrahim"/>
        <s v="Tunde Williams"/>
        <s v="Daniel Ibrahim"/>
        <s v="Godwin Nwosu"/>
        <s v="Kelvin Sule"/>
        <s v="Ayomide Sule"/>
        <s v="Oluwaseun Nwosu"/>
        <s v="Tochukwu Uche"/>
        <s v="Musa Williams"/>
        <s v="Ibrahim Lawal"/>
        <s v="Bright Okoro"/>
        <s v="Emeka Salami"/>
        <s v="Samuel Okafor"/>
        <s v="Femi Johnson"/>
        <s v="Tochukwu Abubakar"/>
        <s v="Musa Ibrahim"/>
        <s v="Kelvin Okoro"/>
        <s v="Daniel Johnson"/>
        <s v="Tunde Nwosu"/>
        <s v="Bright Williams"/>
        <s v="Bright Eze"/>
        <s v="Joseph Uche"/>
        <s v="Adebayo Okoro"/>
        <s v="Emeka Okoro"/>
        <s v="Tochukwu Balogun"/>
        <s v="Chinedu Ojo"/>
        <s v="Michael Nwosu"/>
        <s v="Ibrahim Bello"/>
        <s v="Oluwaseun Okafor"/>
        <s v="Femi Obi"/>
        <s v="Daniel Sule"/>
        <s v="David Ojo"/>
        <s v="Tochukwu Nwosu"/>
        <s v="Kelvin Madu"/>
        <s v="Ayomide Johnson"/>
        <s v="Ayomide Madu"/>
        <s v="Ayomide Akinyemi"/>
        <m/>
      </sharedItems>
    </cacheField>
    <cacheField name="account_number" numFmtId="0">
      <sharedItems containsString="0" containsBlank="1" containsNumber="1" containsInteger="1" minValue="1000000000" maxValue="1000000149"/>
    </cacheField>
    <cacheField name="Total Received" numFmtId="164">
      <sharedItems containsString="0" containsBlank="1" containsNumber="1" containsInteger="1" minValue="2148847" maxValue="5968500"/>
    </cacheField>
    <cacheField name="Paid  week 1" numFmtId="164">
      <sharedItems containsString="0" containsBlank="1" containsNumber="1" containsInteger="1" minValue="0" maxValue="77000"/>
    </cacheField>
    <cacheField name="Outstanding" numFmtId="164">
      <sharedItems containsString="0" containsBlank="1" containsNumber="1" containsInteger="1" minValue="-2134844" maxValue="2436594"/>
    </cacheField>
    <cacheField name="Remaining balance" numFmtId="164">
      <sharedItems containsString="0" containsBlank="1" containsNumber="1" containsInteger="1" minValue="31500" maxValue="3851153"/>
    </cacheField>
    <cacheField name="Asset status" numFmtId="0">
      <sharedItems containsBlank="1" count="3">
        <s v="Non-compliant"/>
        <s v="Compliant"/>
        <m/>
      </sharedItems>
    </cacheField>
    <cacheField name="Location" numFmtId="0">
      <sharedItems containsBlank="1" count="4">
        <s v="Festac"/>
        <s v="Okota"/>
        <s v="Cele"/>
        <m/>
      </sharedItems>
    </cacheField>
    <cacheField name="Payment progress" numFmtId="9">
      <sharedItems containsString="0" containsBlank="1" containsNumber="1" minValue="0.35814116666666668" maxValue="0.99475000000000002"/>
    </cacheField>
    <cacheField name="Payment rate" numFmtId="9">
      <sharedItems containsString="0" containsBlank="1" containsNumber="1" minValue="0.47824539614561029" maxValue="1.6607378520581864"/>
    </cacheField>
    <cacheField name="Week 1 payment rate" numFmtId="0">
      <sharedItems containsString="0" containsBlank="1" containsNumber="1" minValue="0" maxValue="1.1666666666666667"/>
    </cacheField>
    <cacheField name="Days behind" numFmtId="0">
      <sharedItems containsString="0" containsBlank="1" containsNumber="1" minValue="-237.20488888888889" maxValue="243.65940000000001"/>
    </cacheField>
    <cacheField name="Repayment performance Category" numFmtId="0">
      <sharedItems containsBlank="1" count="4">
        <s v="Poor"/>
        <s v="Good"/>
        <s v="Needs Monitoring"/>
        <m/>
      </sharedItems>
    </cacheField>
    <cacheField name="Rider status" numFmtId="0">
      <sharedItems containsBlank="1" count="3">
        <s v="Original"/>
        <s v="Gho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5-08-11T00:00:00"/>
    <n v="474"/>
    <n v="6000000"/>
    <n v="10000"/>
    <n v="60000"/>
    <n v="50000"/>
    <n v="4740000"/>
    <x v="0"/>
    <s v="Active"/>
    <s v="KTU96LM"/>
    <s v="Tochukwu Bello"/>
    <n v="1000000000"/>
    <x v="0"/>
    <n v="38500"/>
    <n v="1628773"/>
    <n v="2888773"/>
    <s v="Non-compliant"/>
    <x v="0"/>
    <n v="0.51853783333333336"/>
    <x v="0"/>
    <n v="0.64166666666666672"/>
    <n v="162.87729999999999"/>
    <s v="Poor"/>
    <s v="Original"/>
  </r>
  <r>
    <d v="2025-03-09T00:00:00"/>
    <n v="353"/>
    <n v="6000000"/>
    <n v="10000"/>
    <n v="60000"/>
    <n v="50000"/>
    <n v="3530000"/>
    <x v="1"/>
    <s v="Active"/>
    <s v="MUS35LM"/>
    <s v="Tochukwu Williams"/>
    <n v="1000000001"/>
    <x v="1"/>
    <n v="36000"/>
    <n v="124057"/>
    <n v="2594057"/>
    <s v="Non-compliant"/>
    <x v="0"/>
    <n v="0.56765716666666666"/>
    <x v="1"/>
    <n v="0.6"/>
    <n v="12.4057"/>
    <s v="Good"/>
    <s v="Ghost"/>
  </r>
  <r>
    <d v="2025-07-29T00:00:00"/>
    <n v="461"/>
    <n v="6000000"/>
    <n v="10000"/>
    <n v="60000"/>
    <n v="50000"/>
    <n v="4610000"/>
    <x v="2"/>
    <s v="Frozen"/>
    <s v="EKY29CD"/>
    <s v="Victor Eze"/>
    <n v="1000000002"/>
    <x v="2"/>
    <n v="0"/>
    <n v="953204"/>
    <n v="2343204"/>
    <s v="Non-compliant"/>
    <x v="0"/>
    <n v="0.60946599999999995"/>
    <x v="2"/>
    <n v="0"/>
    <n v="95.320400000000006"/>
    <s v="Needs Monitoring"/>
    <s v="Original"/>
  </r>
  <r>
    <d v="2025-03-25T00:00:00"/>
    <n v="344"/>
    <n v="6000000"/>
    <n v="10000"/>
    <n v="60000"/>
    <n v="75000"/>
    <n v="3440000"/>
    <x v="3"/>
    <s v="Active"/>
    <s v="APP78AB"/>
    <s v="Musa Bello"/>
    <n v="1000000003"/>
    <x v="3"/>
    <n v="70000"/>
    <n v="493051"/>
    <n v="3053051"/>
    <s v="Non-compliant"/>
    <x v="0"/>
    <n v="0.49115816666666667"/>
    <x v="3"/>
    <n v="1.1666666666666667"/>
    <n v="49.305100000000003"/>
    <s v="Needs Monitoring"/>
    <s v="Original"/>
  </r>
  <r>
    <d v="2025-08-08T00:00:00"/>
    <n v="382"/>
    <n v="6000000"/>
    <n v="10000"/>
    <n v="60000"/>
    <n v="100000"/>
    <n v="3820000"/>
    <x v="4"/>
    <s v="Active"/>
    <s v="LAG47AB"/>
    <s v="Tunde Eze"/>
    <n v="1000000004"/>
    <x v="4"/>
    <n v="36500"/>
    <n v="365348"/>
    <n v="2545348"/>
    <s v="Non-compliant"/>
    <x v="0"/>
    <n v="0.57577533333333331"/>
    <x v="4"/>
    <n v="0.60833333333333328"/>
    <n v="36.534799999999997"/>
    <s v="Good"/>
    <s v="Ghost"/>
  </r>
  <r>
    <d v="2025-06-25T00:00:00"/>
    <n v="446"/>
    <n v="6000000"/>
    <n v="10000"/>
    <n v="60000"/>
    <n v="50000"/>
    <n v="4460000"/>
    <x v="5"/>
    <s v="Active"/>
    <s v="KTU87LM"/>
    <s v="Daniel Ogunleye"/>
    <n v="1000000005"/>
    <x v="5"/>
    <n v="41500"/>
    <n v="622109"/>
    <n v="2162109"/>
    <s v="Non-compliant"/>
    <x v="0"/>
    <n v="0.63964849999999995"/>
    <x v="5"/>
    <n v="0.69166666666666665"/>
    <n v="62.210900000000002"/>
    <s v="Needs Monitoring"/>
    <s v="Original"/>
  </r>
  <r>
    <d v="2025-04-11T00:00:00"/>
    <n v="468"/>
    <n v="6000000"/>
    <n v="11000"/>
    <n v="66000"/>
    <n v="75000"/>
    <n v="5148000"/>
    <x v="6"/>
    <s v="Active"/>
    <s v="EKY17CD"/>
    <s v="Chinedu Balogun"/>
    <n v="1000000006"/>
    <x v="6"/>
    <n v="44000"/>
    <n v="-270043"/>
    <n v="581957"/>
    <s v="Compliant"/>
    <x v="0"/>
    <n v="0.90300716666666669"/>
    <x v="6"/>
    <n v="0.66666666666666663"/>
    <n v="-24.549363636363637"/>
    <s v="Good"/>
    <s v="Ghost"/>
  </r>
  <r>
    <d v="2025-03-17T00:00:00"/>
    <n v="359"/>
    <n v="6000000"/>
    <n v="9000"/>
    <n v="54000"/>
    <n v="100000"/>
    <n v="3231000"/>
    <x v="7"/>
    <s v="Frozen"/>
    <s v="APP92GH"/>
    <s v="Samuel Akinyemi"/>
    <n v="1000000007"/>
    <x v="7"/>
    <n v="0"/>
    <n v="-259896"/>
    <n v="2509104"/>
    <s v="Compliant"/>
    <x v="0"/>
    <n v="0.581816"/>
    <x v="7"/>
    <n v="0"/>
    <n v="-28.877333333333333"/>
    <s v="Good"/>
    <s v="Ghost"/>
  </r>
  <r>
    <d v="2025-07-22T00:00:00"/>
    <n v="344"/>
    <n v="6000000"/>
    <n v="10000"/>
    <n v="60000"/>
    <n v="100000"/>
    <n v="3440000"/>
    <x v="8"/>
    <s v="Active"/>
    <s v="EKY38CD"/>
    <s v="Bright Sule"/>
    <n v="1000000008"/>
    <x v="8"/>
    <n v="57500"/>
    <n v="110421"/>
    <n v="2670421"/>
    <s v="Non-compliant"/>
    <x v="0"/>
    <n v="0.55492983333333334"/>
    <x v="8"/>
    <n v="0.95833333333333337"/>
    <n v="11.0421"/>
    <s v="Good"/>
    <s v="Original"/>
  </r>
  <r>
    <d v="2025-08-08T00:00:00"/>
    <n v="456"/>
    <n v="6000000"/>
    <n v="9000"/>
    <n v="54000"/>
    <n v="100000"/>
    <n v="4104000"/>
    <x v="9"/>
    <s v="Active"/>
    <s v="APP86GH"/>
    <s v="Bright Akinyemi"/>
    <n v="1000000009"/>
    <x v="9"/>
    <n v="37500"/>
    <n v="1184267"/>
    <n v="3080267"/>
    <s v="Non-compliant"/>
    <x v="0"/>
    <n v="0.48662216666666669"/>
    <x v="9"/>
    <n v="0.69444444444444442"/>
    <n v="131.58522222222223"/>
    <s v="Needs Monitoring"/>
    <s v="Original"/>
  </r>
  <r>
    <d v="2025-03-30T00:00:00"/>
    <n v="371"/>
    <n v="6000000"/>
    <n v="10000"/>
    <n v="60000"/>
    <n v="100000"/>
    <n v="3710000"/>
    <x v="10"/>
    <s v="Active"/>
    <s v="LAG68AB"/>
    <s v="Oluwaseun Okoro"/>
    <n v="1000000010"/>
    <x v="10"/>
    <n v="54000"/>
    <n v="-2109111"/>
    <n v="180889"/>
    <s v="Compliant"/>
    <x v="0"/>
    <n v="0.96985183333333336"/>
    <x v="10"/>
    <n v="0.9"/>
    <n v="-210.9111"/>
    <s v="Good"/>
    <s v="Ghost"/>
  </r>
  <r>
    <d v="2025-07-08T00:00:00"/>
    <n v="411"/>
    <n v="6000000"/>
    <n v="10000"/>
    <n v="60000"/>
    <n v="100000"/>
    <n v="4110000"/>
    <x v="11"/>
    <s v="Active"/>
    <s v="MUS35CD"/>
    <s v="Godwin Johnson"/>
    <n v="1000000011"/>
    <x v="11"/>
    <n v="32500"/>
    <n v="909900"/>
    <n v="2799900"/>
    <s v="Non-compliant"/>
    <x v="0"/>
    <n v="0.53334999999999999"/>
    <x v="11"/>
    <n v="0.54166666666666663"/>
    <n v="90.99"/>
    <s v="Needs Monitoring"/>
    <s v="Original"/>
  </r>
  <r>
    <d v="2025-05-22T00:00:00"/>
    <n v="375"/>
    <n v="6000000"/>
    <n v="11000"/>
    <n v="66000"/>
    <n v="50000"/>
    <n v="4125000"/>
    <x v="12"/>
    <s v="Frozen"/>
    <s v="LAG17CD"/>
    <s v="Ayomide Bello"/>
    <n v="1000000012"/>
    <x v="12"/>
    <n v="28500"/>
    <n v="-368876"/>
    <n v="1506124"/>
    <s v="Compliant"/>
    <x v="0"/>
    <n v="0.74897933333333333"/>
    <x v="12"/>
    <n v="0.43181818181818182"/>
    <n v="-33.534181818181821"/>
    <s v="Good"/>
    <s v="Ghost"/>
  </r>
  <r>
    <d v="2025-07-03T00:00:00"/>
    <n v="335"/>
    <n v="6000000"/>
    <n v="10000"/>
    <n v="60000"/>
    <n v="100000"/>
    <n v="3350000"/>
    <x v="13"/>
    <s v="Frozen"/>
    <s v="MUS31EF"/>
    <s v="Bright Salami"/>
    <n v="1000000013"/>
    <x v="13"/>
    <n v="0"/>
    <n v="622800"/>
    <n v="3272800"/>
    <s v="Non-compliant"/>
    <x v="0"/>
    <n v="0.45453333333333334"/>
    <x v="13"/>
    <n v="0"/>
    <n v="62.28"/>
    <s v="Needs Monitoring"/>
    <s v="Original"/>
  </r>
  <r>
    <d v="2025-08-19T00:00:00"/>
    <n v="353"/>
    <n v="6000000"/>
    <n v="10000"/>
    <n v="60000"/>
    <n v="75000"/>
    <n v="3530000"/>
    <x v="14"/>
    <s v="Active"/>
    <s v="LAG18EF"/>
    <s v="Adebayo Madu"/>
    <n v="1000000014"/>
    <x v="14"/>
    <n v="57500"/>
    <n v="231579"/>
    <n v="2701579"/>
    <s v="Non-compliant"/>
    <x v="0"/>
    <n v="0.54973683333333334"/>
    <x v="14"/>
    <n v="0.95833333333333337"/>
    <n v="23.157900000000001"/>
    <s v="Good"/>
    <s v="Original"/>
  </r>
  <r>
    <d v="2025-07-29T00:00:00"/>
    <n v="420"/>
    <n v="6000000"/>
    <n v="9000"/>
    <n v="54000"/>
    <n v="50000"/>
    <n v="3780000"/>
    <x v="15"/>
    <s v="Active"/>
    <s v="LAG18AB"/>
    <s v="Victor Bello"/>
    <n v="1000000015"/>
    <x v="15"/>
    <n v="27000"/>
    <n v="651636"/>
    <n v="2871636"/>
    <s v="Non-compliant"/>
    <x v="0"/>
    <n v="0.52139400000000002"/>
    <x v="15"/>
    <n v="0.5"/>
    <n v="72.403999999999996"/>
    <s v="Needs Monitoring"/>
    <s v="Ghost"/>
  </r>
  <r>
    <d v="2025-05-11T00:00:00"/>
    <n v="337"/>
    <n v="6000000"/>
    <n v="11000"/>
    <n v="66000"/>
    <n v="50000"/>
    <n v="3707000"/>
    <x v="16"/>
    <s v="Active"/>
    <s v="LAG70NP"/>
    <s v="Kelvin Ojo"/>
    <n v="1000000016"/>
    <x v="16"/>
    <n v="64000"/>
    <n v="-1232967"/>
    <n v="1060033"/>
    <s v="Compliant"/>
    <x v="0"/>
    <n v="0.82332783333333337"/>
    <x v="16"/>
    <n v="0.96969696969696972"/>
    <n v="-112.08790909090909"/>
    <s v="Good"/>
    <s v="Original"/>
  </r>
  <r>
    <d v="2025-08-16T00:00:00"/>
    <n v="440"/>
    <n v="6000000"/>
    <n v="11000"/>
    <n v="66000"/>
    <n v="75000"/>
    <n v="4840000"/>
    <x v="17"/>
    <s v="Active"/>
    <s v="KTU17GH"/>
    <s v="Victor Eze"/>
    <n v="1000000017"/>
    <x v="17"/>
    <n v="61000"/>
    <n v="447343"/>
    <n v="1607343"/>
    <s v="Non-compliant"/>
    <x v="0"/>
    <n v="0.73210949999999997"/>
    <x v="17"/>
    <n v="0.9242424242424242"/>
    <n v="40.667545454545454"/>
    <s v="Good"/>
    <s v="Ghost"/>
  </r>
  <r>
    <d v="2025-04-18T00:00:00"/>
    <n v="363"/>
    <n v="6000000"/>
    <n v="11000"/>
    <n v="66000"/>
    <n v="50000"/>
    <n v="3993000"/>
    <x v="18"/>
    <s v="Active"/>
    <s v="LAG19GH"/>
    <s v="Tochukwu Eze"/>
    <n v="1000000018"/>
    <x v="18"/>
    <n v="52000"/>
    <n v="-1329598"/>
    <n v="677402"/>
    <s v="Compliant"/>
    <x v="0"/>
    <n v="0.88709966666666662"/>
    <x v="18"/>
    <n v="0.78787878787878785"/>
    <n v="-120.87254545454546"/>
    <s v="Good"/>
    <s v="Ghost"/>
  </r>
  <r>
    <d v="2025-07-17T00:00:00"/>
    <n v="481"/>
    <n v="6000000"/>
    <n v="10000"/>
    <n v="60000"/>
    <n v="50000"/>
    <n v="4810000"/>
    <x v="19"/>
    <s v="Frozen"/>
    <s v="APP37NP"/>
    <s v="Musa Okafor"/>
    <n v="1000000019"/>
    <x v="19"/>
    <n v="0"/>
    <n v="2242155"/>
    <n v="3432155"/>
    <s v="Non-compliant"/>
    <x v="0"/>
    <n v="0.42797416666666666"/>
    <x v="19"/>
    <n v="0"/>
    <n v="224.21549999999999"/>
    <s v="Poor"/>
    <s v="Original"/>
  </r>
  <r>
    <d v="2025-03-01T00:00:00"/>
    <n v="413"/>
    <n v="6000000"/>
    <n v="11000"/>
    <n v="66000"/>
    <n v="75000"/>
    <n v="4543000"/>
    <x v="20"/>
    <s v="Active"/>
    <s v="LAG34EF"/>
    <s v="Michael Okafor"/>
    <n v="1000000020"/>
    <x v="20"/>
    <n v="67500"/>
    <n v="1543000"/>
    <n v="3000000"/>
    <s v="Non-compliant"/>
    <x v="0"/>
    <n v="0.5"/>
    <x v="20"/>
    <n v="1.0227272727272727"/>
    <n v="140.27272727272728"/>
    <s v="Poor"/>
    <s v="Ghost"/>
  </r>
  <r>
    <d v="2025-05-20T00:00:00"/>
    <n v="467"/>
    <n v="6000000"/>
    <n v="10000"/>
    <n v="60000"/>
    <n v="50000"/>
    <n v="4670000"/>
    <x v="21"/>
    <s v="Active"/>
    <s v="LAG17JK"/>
    <s v="Emeka Johnson"/>
    <n v="1000000021"/>
    <x v="21"/>
    <n v="49500"/>
    <n v="1190491"/>
    <n v="2520491"/>
    <s v="Non-compliant"/>
    <x v="0"/>
    <n v="0.57991816666666662"/>
    <x v="21"/>
    <n v="0.82499999999999996"/>
    <n v="119.0491"/>
    <s v="Needs Monitoring"/>
    <s v="Original"/>
  </r>
  <r>
    <d v="2025-03-18T00:00:00"/>
    <n v="425"/>
    <n v="6000000"/>
    <n v="9000"/>
    <n v="54000"/>
    <n v="75000"/>
    <n v="3825000"/>
    <x v="22"/>
    <s v="Active"/>
    <s v="MUS86AB"/>
    <s v="Femi Bello"/>
    <n v="1000000022"/>
    <x v="22"/>
    <n v="18500"/>
    <n v="196025"/>
    <n v="2371025"/>
    <s v="Non-compliant"/>
    <x v="0"/>
    <n v="0.60482916666666664"/>
    <x v="22"/>
    <n v="0.34259259259259262"/>
    <n v="21.780555555555555"/>
    <s v="Good"/>
    <s v="Original"/>
  </r>
  <r>
    <d v="2025-05-06T00:00:00"/>
    <n v="381"/>
    <n v="6000000"/>
    <n v="9000"/>
    <n v="54000"/>
    <n v="100000"/>
    <n v="3429000"/>
    <x v="23"/>
    <s v="Active"/>
    <s v="LAG95LM"/>
    <s v="Yusuf Obi"/>
    <n v="1000000023"/>
    <x v="23"/>
    <n v="42500"/>
    <n v="-415560"/>
    <n v="2155440"/>
    <s v="Compliant"/>
    <x v="0"/>
    <n v="0.64076"/>
    <x v="23"/>
    <n v="0.78703703703703709"/>
    <n v="-46.173333333333332"/>
    <s v="Good"/>
    <s v="Ghost"/>
  </r>
  <r>
    <d v="2025-06-26T00:00:00"/>
    <n v="385"/>
    <n v="6000000"/>
    <n v="10000"/>
    <n v="60000"/>
    <n v="50000"/>
    <n v="3850000"/>
    <x v="24"/>
    <s v="Active"/>
    <s v="LAG54AB"/>
    <s v="Tunde Uche"/>
    <n v="1000000024"/>
    <x v="24"/>
    <n v="46000"/>
    <n v="443387"/>
    <n v="2593387"/>
    <s v="Non-compliant"/>
    <x v="0"/>
    <n v="0.56776883333333328"/>
    <x v="24"/>
    <n v="0.76666666666666672"/>
    <n v="44.338700000000003"/>
    <s v="Needs Monitoring"/>
    <s v="Original"/>
  </r>
  <r>
    <d v="2025-06-21T00:00:00"/>
    <n v="420"/>
    <n v="6000000"/>
    <n v="10000"/>
    <n v="60000"/>
    <n v="100000"/>
    <n v="4200000"/>
    <x v="25"/>
    <s v="Active"/>
    <s v="KTU27EF"/>
    <s v="Ibrahim Eze"/>
    <n v="1000000025"/>
    <x v="25"/>
    <n v="65000"/>
    <n v="-95827"/>
    <n v="1704173"/>
    <s v="Compliant"/>
    <x v="0"/>
    <n v="0.71597116666666671"/>
    <x v="25"/>
    <n v="1.0833333333333333"/>
    <n v="-9.5827000000000009"/>
    <s v="Good"/>
    <s v="Ghost"/>
  </r>
  <r>
    <d v="2025-05-12T00:00:00"/>
    <n v="421"/>
    <n v="6000000"/>
    <n v="9000"/>
    <n v="54000"/>
    <n v="100000"/>
    <n v="3789000"/>
    <x v="26"/>
    <s v="Active"/>
    <s v="MUS72EF"/>
    <s v="Chinedu Bello"/>
    <n v="1000000026"/>
    <x v="26"/>
    <n v="40000"/>
    <n v="105125"/>
    <n v="2316125"/>
    <s v="Non-compliant"/>
    <x v="0"/>
    <n v="0.61397916666666663"/>
    <x v="26"/>
    <n v="0.7407407407407407"/>
    <n v="11.680555555555555"/>
    <s v="Good"/>
    <s v="Original"/>
  </r>
  <r>
    <d v="2025-05-10T00:00:00"/>
    <n v="465"/>
    <n v="6000000"/>
    <n v="10000"/>
    <n v="60000"/>
    <n v="50000"/>
    <n v="4650000"/>
    <x v="27"/>
    <s v="Active"/>
    <s v="LAG66JK"/>
    <s v="Kelvin Ogunleye"/>
    <n v="1000000027"/>
    <x v="27"/>
    <n v="44500"/>
    <n v="558618"/>
    <n v="1908618"/>
    <s v="Non-compliant"/>
    <x v="0"/>
    <n v="0.68189699999999998"/>
    <x v="27"/>
    <n v="0.7416666666666667"/>
    <n v="55.861800000000002"/>
    <s v="Needs Monitoring"/>
    <s v="Original"/>
  </r>
  <r>
    <d v="2025-03-20T00:00:00"/>
    <n v="403"/>
    <n v="6000000"/>
    <n v="9000"/>
    <n v="54000"/>
    <n v="100000"/>
    <n v="3627000"/>
    <x v="28"/>
    <s v="Frozen"/>
    <s v="APP26AB"/>
    <s v="Yusuf Uche"/>
    <n v="1000000028"/>
    <x v="28"/>
    <n v="0"/>
    <n v="-362141"/>
    <n v="2010859"/>
    <s v="Compliant"/>
    <x v="0"/>
    <n v="0.66485683333333334"/>
    <x v="28"/>
    <n v="0"/>
    <n v="-40.237888888888889"/>
    <s v="Good"/>
    <s v="Ghost"/>
  </r>
  <r>
    <d v="2025-05-31T00:00:00"/>
    <n v="443"/>
    <n v="6000000"/>
    <n v="9000"/>
    <n v="54000"/>
    <n v="100000"/>
    <n v="3987000"/>
    <x v="29"/>
    <s v="Active"/>
    <s v="MUS62JK"/>
    <s v="Samuel Lawal"/>
    <n v="1000000029"/>
    <x v="29"/>
    <n v="37500"/>
    <n v="-64111"/>
    <n v="1948889"/>
    <s v="Compliant"/>
    <x v="0"/>
    <n v="0.67518516666666661"/>
    <x v="29"/>
    <n v="0.69444444444444442"/>
    <n v="-7.123444444444444"/>
    <s v="Good"/>
    <s v="Ghost"/>
  </r>
  <r>
    <d v="2025-04-15T00:00:00"/>
    <n v="398"/>
    <n v="6000000"/>
    <n v="11000"/>
    <n v="66000"/>
    <n v="50000"/>
    <n v="4378000"/>
    <x v="30"/>
    <s v="Active"/>
    <s v="APP95NP"/>
    <s v="Tunde Akinyemi"/>
    <n v="1000000030"/>
    <x v="30"/>
    <n v="37500"/>
    <n v="-508057"/>
    <n v="1113943"/>
    <s v="Compliant"/>
    <x v="0"/>
    <n v="0.81434283333333335"/>
    <x v="30"/>
    <n v="0.56818181818181823"/>
    <n v="-46.186999999999998"/>
    <s v="Good"/>
    <s v="Original"/>
  </r>
  <r>
    <d v="2025-06-06T00:00:00"/>
    <n v="439"/>
    <n v="6000000"/>
    <n v="10000"/>
    <n v="60000"/>
    <n v="75000"/>
    <n v="4390000"/>
    <x v="31"/>
    <s v="Frozen"/>
    <s v="EKY49NP"/>
    <s v="Tunde Lawal"/>
    <n v="1000000031"/>
    <x v="31"/>
    <n v="0"/>
    <n v="1474064"/>
    <n v="3084064"/>
    <s v="Non-compliant"/>
    <x v="0"/>
    <n v="0.48598933333333333"/>
    <x v="31"/>
    <n v="0"/>
    <n v="147.40639999999999"/>
    <s v="Poor"/>
    <s v="Original"/>
  </r>
  <r>
    <d v="2025-04-19T00:00:00"/>
    <n v="425"/>
    <n v="6000000"/>
    <n v="11000"/>
    <n v="66000"/>
    <n v="75000"/>
    <n v="4675000"/>
    <x v="32"/>
    <s v="Active"/>
    <s v="EKY92JK"/>
    <s v="Musa Ogunleye"/>
    <n v="1000000032"/>
    <x v="32"/>
    <n v="62000"/>
    <n v="-1044384"/>
    <n v="280616"/>
    <s v="Compliant"/>
    <x v="0"/>
    <n v="0.95323066666666667"/>
    <x v="32"/>
    <n v="0.93939393939393945"/>
    <n v="-94.944000000000003"/>
    <s v="Good"/>
    <s v="Ghost"/>
  </r>
  <r>
    <d v="2025-05-06T00:00:00"/>
    <n v="355"/>
    <n v="6000000"/>
    <n v="9000"/>
    <n v="54000"/>
    <n v="100000"/>
    <n v="3195000"/>
    <x v="33"/>
    <s v="Active"/>
    <s v="EKY50GH"/>
    <s v="Femi Okoro"/>
    <n v="1000000033"/>
    <x v="33"/>
    <n v="44500"/>
    <n v="-856901"/>
    <n v="1948099"/>
    <s v="Compliant"/>
    <x v="0"/>
    <n v="0.67531683333333337"/>
    <x v="33"/>
    <n v="0.82407407407407407"/>
    <n v="-95.211222222222219"/>
    <s v="Good"/>
    <s v="Original"/>
  </r>
  <r>
    <d v="2025-07-26T00:00:00"/>
    <n v="336"/>
    <n v="6000000"/>
    <n v="9000"/>
    <n v="54000"/>
    <n v="75000"/>
    <n v="3024000"/>
    <x v="34"/>
    <s v="Active"/>
    <s v="MUS78LM"/>
    <s v="Michael Uche"/>
    <n v="1000000034"/>
    <x v="34"/>
    <n v="24500"/>
    <n v="-556944"/>
    <n v="2419056"/>
    <s v="Compliant"/>
    <x v="0"/>
    <n v="0.59682400000000002"/>
    <x v="34"/>
    <n v="0.45370370370370372"/>
    <n v="-61.882666666666665"/>
    <s v="Good"/>
    <s v="Ghost"/>
  </r>
  <r>
    <d v="2025-08-18T00:00:00"/>
    <n v="390"/>
    <n v="6000000"/>
    <n v="10000"/>
    <n v="60000"/>
    <n v="100000"/>
    <n v="3900000"/>
    <x v="35"/>
    <s v="Active"/>
    <s v="EKY74EF"/>
    <s v="Kelvin Balogun"/>
    <n v="1000000035"/>
    <x v="35"/>
    <n v="54500"/>
    <n v="142867"/>
    <n v="2242867"/>
    <s v="Non-compliant"/>
    <x v="0"/>
    <n v="0.62618883333333331"/>
    <x v="35"/>
    <n v="0.90833333333333333"/>
    <n v="14.2867"/>
    <s v="Good"/>
    <s v="Original"/>
  </r>
  <r>
    <d v="2025-06-16T00:00:00"/>
    <n v="387"/>
    <n v="6000000"/>
    <n v="11000"/>
    <n v="66000"/>
    <n v="100000"/>
    <n v="4257000"/>
    <x v="36"/>
    <s v="Active"/>
    <s v="APP80NP"/>
    <s v="Adebayo Nwosu"/>
    <n v="1000000036"/>
    <x v="36"/>
    <n v="46000"/>
    <n v="-305937"/>
    <n v="1437063"/>
    <s v="Compliant"/>
    <x v="0"/>
    <n v="0.76048950000000004"/>
    <x v="36"/>
    <n v="0.69696969696969702"/>
    <n v="-27.812454545454546"/>
    <s v="Good"/>
    <s v="Ghost"/>
  </r>
  <r>
    <d v="2025-06-19T00:00:00"/>
    <n v="462"/>
    <n v="6000000"/>
    <n v="10000"/>
    <n v="60000"/>
    <n v="75000"/>
    <n v="4620000"/>
    <x v="37"/>
    <s v="Active"/>
    <s v="LAG94AB"/>
    <s v="Yusuf Okoro"/>
    <n v="1000000037"/>
    <x v="37"/>
    <n v="40500"/>
    <n v="1894663"/>
    <n v="3274663"/>
    <s v="Non-compliant"/>
    <x v="0"/>
    <n v="0.45422283333333335"/>
    <x v="37"/>
    <n v="0.67500000000000004"/>
    <n v="189.46629999999999"/>
    <s v="Poor"/>
    <s v="Original"/>
  </r>
  <r>
    <d v="2025-03-24T00:00:00"/>
    <n v="382"/>
    <n v="6000000"/>
    <n v="9000"/>
    <n v="54000"/>
    <n v="100000"/>
    <n v="3438000"/>
    <x v="38"/>
    <s v="Active"/>
    <s v="LAG13AB"/>
    <s v="Tunde Sule"/>
    <n v="1000000038"/>
    <x v="38"/>
    <n v="41000"/>
    <n v="-1058843"/>
    <n v="1503157"/>
    <s v="Compliant"/>
    <x v="0"/>
    <n v="0.74947383333333328"/>
    <x v="38"/>
    <n v="0.7592592592592593"/>
    <n v="-117.64922222222222"/>
    <s v="Good"/>
    <s v="Original"/>
  </r>
  <r>
    <d v="2025-06-25T00:00:00"/>
    <n v="389"/>
    <n v="6000000"/>
    <n v="11000"/>
    <n v="66000"/>
    <n v="100000"/>
    <n v="4279000"/>
    <x v="39"/>
    <s v="Active"/>
    <s v="APP61CD"/>
    <s v="Samuel Adeyemi"/>
    <n v="1000000039"/>
    <x v="39"/>
    <n v="59500"/>
    <n v="-268059"/>
    <n v="1452941"/>
    <s v="Compliant"/>
    <x v="0"/>
    <n v="0.75784316666666662"/>
    <x v="39"/>
    <n v="0.90151515151515149"/>
    <n v="-24.369"/>
    <s v="Good"/>
    <s v="Ghost"/>
  </r>
  <r>
    <d v="2025-06-17T00:00:00"/>
    <n v="384"/>
    <n v="6000000"/>
    <n v="9000"/>
    <n v="54000"/>
    <n v="50000"/>
    <n v="3456000"/>
    <x v="40"/>
    <s v="Active"/>
    <s v="KTU68CD"/>
    <s v="Joseph Okoro"/>
    <n v="1000000040"/>
    <x v="40"/>
    <n v="58000"/>
    <n v="-179324"/>
    <n v="2364676"/>
    <s v="Compliant"/>
    <x v="0"/>
    <n v="0.60588733333333333"/>
    <x v="40"/>
    <n v="1.0740740740740742"/>
    <n v="-19.924888888888891"/>
    <s v="Good"/>
    <s v="Original"/>
  </r>
  <r>
    <d v="2025-06-22T00:00:00"/>
    <n v="344"/>
    <n v="6000000"/>
    <n v="11000"/>
    <n v="66000"/>
    <n v="100000"/>
    <n v="3784000"/>
    <x v="41"/>
    <s v="Active"/>
    <s v="APP43NP"/>
    <s v="Tunde Akinyemi"/>
    <n v="1000000041"/>
    <x v="41"/>
    <n v="69500"/>
    <n v="-1611656"/>
    <n v="604344"/>
    <s v="Compliant"/>
    <x v="0"/>
    <n v="0.89927599999999996"/>
    <x v="41"/>
    <n v="1.053030303030303"/>
    <n v="-146.51418181818181"/>
    <s v="Good"/>
    <s v="Ghost"/>
  </r>
  <r>
    <d v="2025-08-08T00:00:00"/>
    <n v="449"/>
    <n v="6000000"/>
    <n v="9000"/>
    <n v="54000"/>
    <n v="75000"/>
    <n v="4041000"/>
    <x v="42"/>
    <s v="Active"/>
    <s v="LAG44EF"/>
    <s v="Victor Ogunleye"/>
    <n v="1000000042"/>
    <x v="42"/>
    <n v="42500"/>
    <n v="1078270"/>
    <n v="3037270"/>
    <s v="Non-compliant"/>
    <x v="0"/>
    <n v="0.49378833333333333"/>
    <x v="42"/>
    <n v="0.78703703703703709"/>
    <n v="119.80777777777777"/>
    <s v="Needs Monitoring"/>
    <s v="Ghost"/>
  </r>
  <r>
    <d v="2025-04-08T00:00:00"/>
    <n v="437"/>
    <n v="6000000"/>
    <n v="9000"/>
    <n v="54000"/>
    <n v="75000"/>
    <n v="3933000"/>
    <x v="43"/>
    <s v="Frozen"/>
    <s v="APP62EF"/>
    <s v="Tochukwu Obi"/>
    <n v="1000000043"/>
    <x v="43"/>
    <n v="0"/>
    <n v="-905227"/>
    <n v="1161773"/>
    <s v="Compliant"/>
    <x v="0"/>
    <n v="0.80637116666666664"/>
    <x v="43"/>
    <n v="0"/>
    <n v="-100.58077777777778"/>
    <s v="Good"/>
    <s v="Original"/>
  </r>
  <r>
    <d v="2025-04-22T00:00:00"/>
    <n v="364"/>
    <n v="6000000"/>
    <n v="11000"/>
    <n v="66000"/>
    <n v="75000"/>
    <n v="4004000"/>
    <x v="44"/>
    <s v="Active"/>
    <s v="MUS58GH"/>
    <s v="Adebayo Uche"/>
    <n v="1000000044"/>
    <x v="44"/>
    <n v="69000"/>
    <n v="-781723"/>
    <n v="1214277"/>
    <s v="Compliant"/>
    <x v="0"/>
    <n v="0.79762049999999995"/>
    <x v="44"/>
    <n v="1.0454545454545454"/>
    <n v="-71.065727272727273"/>
    <s v="Good"/>
    <s v="Original"/>
  </r>
  <r>
    <d v="2025-07-16T00:00:00"/>
    <n v="454"/>
    <n v="6000000"/>
    <n v="9000"/>
    <n v="54000"/>
    <n v="75000"/>
    <n v="4086000"/>
    <x v="45"/>
    <s v="Active"/>
    <s v="KTU59EF"/>
    <s v="Musa Johnson"/>
    <n v="1000000045"/>
    <x v="45"/>
    <n v="36500"/>
    <n v="539212"/>
    <n v="2453212"/>
    <s v="Non-compliant"/>
    <x v="0"/>
    <n v="0.59113133333333334"/>
    <x v="45"/>
    <n v="0.67592592592592593"/>
    <n v="59.912444444444446"/>
    <s v="Needs Monitoring"/>
    <s v="Ghost"/>
  </r>
  <r>
    <d v="2025-04-02T00:00:00"/>
    <n v="425"/>
    <n v="6000000"/>
    <n v="10000"/>
    <n v="60000"/>
    <n v="75000"/>
    <n v="4250000"/>
    <x v="46"/>
    <s v="Active"/>
    <s v="KTU92GH"/>
    <s v="Samuel Obi"/>
    <n v="1000000046"/>
    <x v="46"/>
    <n v="45500"/>
    <n v="719777"/>
    <n v="2469777"/>
    <s v="Non-compliant"/>
    <x v="0"/>
    <n v="0.58837050000000002"/>
    <x v="46"/>
    <n v="0.7583333333333333"/>
    <n v="71.977699999999999"/>
    <s v="Needs Monitoring"/>
    <s v="Original"/>
  </r>
  <r>
    <d v="2025-05-06T00:00:00"/>
    <n v="378"/>
    <n v="6000000"/>
    <n v="11000"/>
    <n v="66000"/>
    <n v="75000"/>
    <n v="4158000"/>
    <x v="47"/>
    <s v="Frozen"/>
    <s v="APP45NP"/>
    <s v="Kelvin Akinyemi"/>
    <n v="1000000047"/>
    <x v="47"/>
    <n v="0"/>
    <n v="-585594"/>
    <n v="1256406"/>
    <s v="Compliant"/>
    <x v="0"/>
    <n v="0.79059900000000005"/>
    <x v="47"/>
    <n v="0"/>
    <n v="-53.235818181818182"/>
    <s v="Good"/>
    <s v="Ghost"/>
  </r>
  <r>
    <d v="2025-06-29T00:00:00"/>
    <n v="438"/>
    <n v="6000000"/>
    <n v="10000"/>
    <n v="60000"/>
    <n v="100000"/>
    <n v="4380000"/>
    <x v="48"/>
    <s v="Active"/>
    <s v="LAG93AB"/>
    <s v="Chinedu Adeyemi"/>
    <n v="1000000048"/>
    <x v="48"/>
    <n v="54500"/>
    <n v="1016519"/>
    <n v="2636519"/>
    <s v="Non-compliant"/>
    <x v="0"/>
    <n v="0.56058016666666666"/>
    <x v="48"/>
    <n v="0.90833333333333333"/>
    <n v="101.6519"/>
    <s v="Needs Monitoring"/>
    <s v="Original"/>
  </r>
  <r>
    <d v="2025-04-21T00:00:00"/>
    <n v="445"/>
    <n v="6000000"/>
    <n v="10000"/>
    <n v="60000"/>
    <n v="100000"/>
    <n v="4450000"/>
    <x v="49"/>
    <s v="Active"/>
    <s v="KTU82CD"/>
    <s v="Joseph Akinyemi"/>
    <n v="1000000049"/>
    <x v="49"/>
    <n v="29000"/>
    <n v="701262"/>
    <n v="2251262"/>
    <s v="Non-compliant"/>
    <x v="0"/>
    <n v="0.62478966666666669"/>
    <x v="49"/>
    <n v="0.48333333333333334"/>
    <n v="70.126199999999997"/>
    <s v="Needs Monitoring"/>
    <s v="Original"/>
  </r>
  <r>
    <d v="2025-04-12T00:00:00"/>
    <n v="330"/>
    <n v="6000000"/>
    <n v="10000"/>
    <n v="60000"/>
    <n v="50000"/>
    <n v="3300000"/>
    <x v="50"/>
    <s v="Frozen"/>
    <s v="MUS96GH"/>
    <s v="Musa Ojo"/>
    <n v="1000000050"/>
    <x v="50"/>
    <n v="0"/>
    <n v="757488"/>
    <n v="3457488"/>
    <s v="Non-compliant"/>
    <x v="1"/>
    <n v="0.42375200000000002"/>
    <x v="50"/>
    <n v="0"/>
    <n v="75.748800000000003"/>
    <s v="Needs Monitoring"/>
    <s v="Ghost"/>
  </r>
  <r>
    <d v="2025-08-24T00:00:00"/>
    <n v="467"/>
    <n v="6000000"/>
    <n v="9000"/>
    <n v="54000"/>
    <n v="50000"/>
    <n v="4203000"/>
    <x v="51"/>
    <s v="Active"/>
    <s v="MUS15EF"/>
    <s v="Tochukwu Williams"/>
    <n v="1000000051"/>
    <x v="51"/>
    <n v="32500"/>
    <n v="1489468"/>
    <n v="3286468"/>
    <s v="Non-compliant"/>
    <x v="1"/>
    <n v="0.45225533333333334"/>
    <x v="51"/>
    <n v="0.60185185185185186"/>
    <n v="165.49644444444445"/>
    <s v="Poor"/>
    <s v="Ghost"/>
  </r>
  <r>
    <d v="2025-03-18T00:00:00"/>
    <n v="367"/>
    <n v="6000000"/>
    <n v="10000"/>
    <n v="60000"/>
    <n v="50000"/>
    <n v="3670000"/>
    <x v="52"/>
    <s v="Active"/>
    <s v="APP56LM"/>
    <s v="Joseph Ibrahim"/>
    <n v="1000000052"/>
    <x v="52"/>
    <n v="51000"/>
    <n v="-751074"/>
    <n v="1578926"/>
    <s v="Compliant"/>
    <x v="1"/>
    <n v="0.73684566666666662"/>
    <x v="52"/>
    <n v="0.85"/>
    <n v="-75.107399999999998"/>
    <s v="Good"/>
    <s v="Original"/>
  </r>
  <r>
    <d v="2025-07-12T00:00:00"/>
    <n v="383"/>
    <n v="6000000"/>
    <n v="10000"/>
    <n v="60000"/>
    <n v="100000"/>
    <n v="3830000"/>
    <x v="53"/>
    <s v="Active"/>
    <s v="APP85EF"/>
    <s v="Victor Lawal"/>
    <n v="1000000053"/>
    <x v="53"/>
    <n v="70000"/>
    <n v="-1045442"/>
    <n v="1124558"/>
    <s v="Compliant"/>
    <x v="1"/>
    <n v="0.81257366666666664"/>
    <x v="53"/>
    <n v="1.1666666666666667"/>
    <n v="-104.5442"/>
    <s v="Good"/>
    <s v="Original"/>
  </r>
  <r>
    <d v="2025-06-24T00:00:00"/>
    <n v="404"/>
    <n v="6000000"/>
    <n v="9000"/>
    <n v="54000"/>
    <n v="75000"/>
    <n v="3636000"/>
    <x v="54"/>
    <s v="Active"/>
    <s v="EKY13GH"/>
    <s v="Victor Johnson"/>
    <n v="1000000054"/>
    <x v="54"/>
    <n v="55000"/>
    <n v="106762"/>
    <n v="2470762"/>
    <s v="Non-compliant"/>
    <x v="1"/>
    <n v="0.58820633333333339"/>
    <x v="54"/>
    <n v="1.0185185185185186"/>
    <n v="11.862444444444444"/>
    <s v="Good"/>
    <s v="Ghost"/>
  </r>
  <r>
    <d v="2025-05-30T00:00:00"/>
    <n v="360"/>
    <n v="6000000"/>
    <n v="10000"/>
    <n v="60000"/>
    <n v="75000"/>
    <n v="3600000"/>
    <x v="55"/>
    <s v="Frozen"/>
    <s v="MUS11JK"/>
    <s v="Michael Bello"/>
    <n v="1000000055"/>
    <x v="55"/>
    <n v="0"/>
    <n v="1094916"/>
    <n v="3494916"/>
    <s v="Non-compliant"/>
    <x v="1"/>
    <n v="0.417514"/>
    <x v="55"/>
    <n v="0"/>
    <n v="109.49160000000001"/>
    <s v="Poor"/>
    <s v="Original"/>
  </r>
  <r>
    <d v="2025-07-21T00:00:00"/>
    <n v="336"/>
    <n v="6000000"/>
    <n v="9000"/>
    <n v="54000"/>
    <n v="100000"/>
    <n v="3024000"/>
    <x v="56"/>
    <s v="Active"/>
    <s v="APP12AB"/>
    <s v="Yusuf Lawal"/>
    <n v="1000000056"/>
    <x v="56"/>
    <n v="56500"/>
    <n v="-172333"/>
    <n v="2803667"/>
    <s v="Compliant"/>
    <x v="1"/>
    <n v="0.53272216666666672"/>
    <x v="56"/>
    <n v="1.0462962962962963"/>
    <n v="-19.14811111111111"/>
    <s v="Good"/>
    <s v="Ghost"/>
  </r>
  <r>
    <d v="2025-08-17T00:00:00"/>
    <n v="431"/>
    <n v="6000000"/>
    <n v="10000"/>
    <n v="60000"/>
    <n v="75000"/>
    <n v="4310000"/>
    <x v="57"/>
    <s v="Active"/>
    <s v="MUS52EF"/>
    <s v="Joseph Akinyemi"/>
    <n v="1000000057"/>
    <x v="57"/>
    <n v="58500"/>
    <n v="1145942"/>
    <n v="2835942"/>
    <s v="Non-compliant"/>
    <x v="1"/>
    <n v="0.52734300000000001"/>
    <x v="57"/>
    <n v="0.97499999999999998"/>
    <n v="114.5942"/>
    <s v="Needs Monitoring"/>
    <s v="Original"/>
  </r>
  <r>
    <d v="2025-04-29T00:00:00"/>
    <n v="432"/>
    <n v="6000000"/>
    <n v="10000"/>
    <n v="60000"/>
    <n v="100000"/>
    <n v="4320000"/>
    <x v="58"/>
    <s v="Active"/>
    <s v="LAG34CD"/>
    <s v="David Akinyemi"/>
    <n v="1000000058"/>
    <x v="58"/>
    <n v="0"/>
    <n v="975540"/>
    <n v="2655540"/>
    <s v="Non-compliant"/>
    <x v="1"/>
    <n v="0.55740999999999996"/>
    <x v="58"/>
    <n v="0"/>
    <n v="97.554000000000002"/>
    <s v="Needs Monitoring"/>
    <s v="Ghost"/>
  </r>
  <r>
    <d v="2025-04-28T00:00:00"/>
    <n v="342"/>
    <n v="6000000"/>
    <n v="10000"/>
    <n v="60000"/>
    <n v="50000"/>
    <n v="3420000"/>
    <x v="59"/>
    <s v="Active"/>
    <s v="LAG45AB"/>
    <s v="Chinedu Ogunleye"/>
    <n v="1000000059"/>
    <x v="59"/>
    <n v="54000"/>
    <n v="-1714715"/>
    <n v="865285"/>
    <s v="Compliant"/>
    <x v="1"/>
    <n v="0.85578583333333336"/>
    <x v="59"/>
    <n v="0.9"/>
    <n v="-171.47149999999999"/>
    <s v="Good"/>
    <s v="Original"/>
  </r>
  <r>
    <d v="2025-08-11T00:00:00"/>
    <n v="456"/>
    <n v="6000000"/>
    <n v="11000"/>
    <n v="66000"/>
    <n v="50000"/>
    <n v="5016000"/>
    <x v="60"/>
    <s v="Active"/>
    <s v="APP66EF"/>
    <s v="Daniel Okafor"/>
    <n v="1000000060"/>
    <x v="60"/>
    <n v="0"/>
    <n v="795011"/>
    <n v="1779011"/>
    <s v="Non-compliant"/>
    <x v="1"/>
    <n v="0.70349816666666665"/>
    <x v="60"/>
    <n v="0"/>
    <n v="72.273727272727271"/>
    <s v="Needs Monitoring"/>
    <s v="Original"/>
  </r>
  <r>
    <d v="2025-03-30T00:00:00"/>
    <n v="360"/>
    <n v="6000000"/>
    <n v="10000"/>
    <n v="60000"/>
    <n v="75000"/>
    <n v="3600000"/>
    <x v="61"/>
    <s v="Active"/>
    <s v="LAG29NP"/>
    <s v="Ayomide Nwosu"/>
    <n v="1000000061"/>
    <x v="61"/>
    <n v="45500"/>
    <n v="-921771"/>
    <n v="1478229"/>
    <s v="Compliant"/>
    <x v="1"/>
    <n v="0.75362850000000003"/>
    <x v="61"/>
    <n v="0.7583333333333333"/>
    <n v="-92.177099999999996"/>
    <s v="Good"/>
    <s v="Ghost"/>
  </r>
  <r>
    <d v="2025-07-21T00:00:00"/>
    <n v="414"/>
    <n v="6000000"/>
    <n v="11000"/>
    <n v="66000"/>
    <n v="100000"/>
    <n v="4554000"/>
    <x v="62"/>
    <s v="Active"/>
    <s v="MUS58GH"/>
    <s v="Joseph Nwosu"/>
    <n v="1000000062"/>
    <x v="62"/>
    <n v="77000"/>
    <n v="259941"/>
    <n v="1705941"/>
    <s v="Non-compliant"/>
    <x v="1"/>
    <n v="0.71567650000000005"/>
    <x v="62"/>
    <n v="1.1666666666666667"/>
    <n v="23.631"/>
    <s v="Good"/>
    <s v="Original"/>
  </r>
  <r>
    <d v="2025-05-18T00:00:00"/>
    <n v="481"/>
    <n v="6000000"/>
    <n v="10000"/>
    <n v="60000"/>
    <n v="100000"/>
    <n v="4810000"/>
    <x v="63"/>
    <s v="Recovery"/>
    <s v="EKY94AB"/>
    <s v="Daniel Lawal"/>
    <n v="1000000063"/>
    <x v="63"/>
    <n v="0"/>
    <n v="2182082"/>
    <n v="3372082"/>
    <s v="Non-compliant"/>
    <x v="1"/>
    <n v="0.43798633333333331"/>
    <x v="63"/>
    <n v="0"/>
    <n v="218.20820000000001"/>
    <s v="Poor"/>
    <s v="Ghost"/>
  </r>
  <r>
    <d v="2025-03-01T00:00:00"/>
    <n v="431"/>
    <n v="6000000"/>
    <n v="11000"/>
    <n v="66000"/>
    <n v="75000"/>
    <n v="4741000"/>
    <x v="64"/>
    <s v="Active"/>
    <s v="LAG46LM"/>
    <s v="Yusuf Obi"/>
    <n v="1000000064"/>
    <x v="64"/>
    <n v="63000"/>
    <n v="-531616"/>
    <n v="727384"/>
    <s v="Compliant"/>
    <x v="1"/>
    <n v="0.87876933333333329"/>
    <x v="64"/>
    <n v="0.95454545454545459"/>
    <n v="-48.328727272727271"/>
    <s v="Good"/>
    <s v="Original"/>
  </r>
  <r>
    <d v="2025-04-29T00:00:00"/>
    <n v="466"/>
    <n v="6000000"/>
    <n v="10000"/>
    <n v="60000"/>
    <n v="100000"/>
    <n v="4660000"/>
    <x v="65"/>
    <s v="Active"/>
    <s v="KTU79CD"/>
    <s v="Samuel Akinyemi"/>
    <n v="1000000065"/>
    <x v="65"/>
    <n v="42000"/>
    <n v="1694612"/>
    <n v="3034612"/>
    <s v="Non-compliant"/>
    <x v="1"/>
    <n v="0.49423133333333336"/>
    <x v="65"/>
    <n v="0.7"/>
    <n v="169.46119999999999"/>
    <s v="Poor"/>
    <s v="Original"/>
  </r>
  <r>
    <d v="2025-03-19T00:00:00"/>
    <n v="372"/>
    <n v="6000000"/>
    <n v="10000"/>
    <n v="60000"/>
    <n v="50000"/>
    <n v="3720000"/>
    <x v="66"/>
    <s v="Active"/>
    <s v="APP25GH"/>
    <s v="Yusuf Abubakar"/>
    <n v="1000000066"/>
    <x v="66"/>
    <n v="28500"/>
    <n v="814744"/>
    <n v="3094744"/>
    <s v="Non-compliant"/>
    <x v="1"/>
    <n v="0.48420933333333332"/>
    <x v="66"/>
    <n v="0.47499999999999998"/>
    <n v="81.474400000000003"/>
    <s v="Needs Monitoring"/>
    <s v="Ghost"/>
  </r>
  <r>
    <d v="2025-07-07T00:00:00"/>
    <n v="334"/>
    <n v="6000000"/>
    <n v="11000"/>
    <n v="66000"/>
    <n v="75000"/>
    <n v="3674000"/>
    <x v="67"/>
    <s v="Frozen"/>
    <s v="MUS42AB"/>
    <s v="Emeka Lawal"/>
    <n v="1000000067"/>
    <x v="67"/>
    <n v="0"/>
    <n v="381377"/>
    <n v="2707377"/>
    <s v="Non-compliant"/>
    <x v="1"/>
    <n v="0.54877050000000005"/>
    <x v="67"/>
    <n v="0"/>
    <n v="34.670636363636362"/>
    <s v="Needs Monitoring"/>
    <s v="Ghost"/>
  </r>
  <r>
    <d v="2025-08-20T00:00:00"/>
    <n v="342"/>
    <n v="6000000"/>
    <n v="10000"/>
    <n v="60000"/>
    <n v="100000"/>
    <n v="3420000"/>
    <x v="68"/>
    <s v="Frozen"/>
    <s v="APP76LM"/>
    <s v="Joseph Akinyemi"/>
    <n v="1000000068"/>
    <x v="68"/>
    <n v="0"/>
    <n v="647044"/>
    <n v="3227044"/>
    <s v="Non-compliant"/>
    <x v="1"/>
    <n v="0.46215933333333331"/>
    <x v="68"/>
    <n v="0"/>
    <n v="64.704400000000007"/>
    <s v="Needs Monitoring"/>
    <s v="Original"/>
  </r>
  <r>
    <d v="2025-08-10T00:00:00"/>
    <n v="336"/>
    <n v="6000000"/>
    <n v="11000"/>
    <n v="66000"/>
    <n v="50000"/>
    <n v="3696000"/>
    <x v="69"/>
    <s v="Active"/>
    <s v="EKY95AB"/>
    <s v="Daniel Balogun"/>
    <n v="1000000069"/>
    <x v="69"/>
    <n v="57500"/>
    <n v="-551372"/>
    <n v="1752628"/>
    <s v="Compliant"/>
    <x v="1"/>
    <n v="0.70789533333333332"/>
    <x v="69"/>
    <n v="0.87121212121212122"/>
    <n v="-50.12472727272727"/>
    <s v="Good"/>
    <s v="Original"/>
  </r>
  <r>
    <d v="2025-08-17T00:00:00"/>
    <n v="363"/>
    <n v="6000000"/>
    <n v="11000"/>
    <n v="66000"/>
    <n v="100000"/>
    <n v="3993000"/>
    <x v="70"/>
    <s v="Active"/>
    <s v="EKY51AB"/>
    <s v="Musa Okoro"/>
    <n v="1000000070"/>
    <x v="70"/>
    <n v="32500"/>
    <n v="223632"/>
    <n v="2230632"/>
    <s v="Non-compliant"/>
    <x v="1"/>
    <n v="0.62822800000000001"/>
    <x v="70"/>
    <n v="0.49242424242424243"/>
    <n v="20.330181818181817"/>
    <s v="Good"/>
    <s v="Ghost"/>
  </r>
  <r>
    <d v="2025-07-17T00:00:00"/>
    <n v="329"/>
    <n v="6000000"/>
    <n v="11000"/>
    <n v="66000"/>
    <n v="75000"/>
    <n v="3619000"/>
    <x v="71"/>
    <s v="Frozen"/>
    <s v="APP16CD"/>
    <s v="Oluwaseun Ogunleye"/>
    <n v="1000000071"/>
    <x v="71"/>
    <n v="0"/>
    <n v="913630"/>
    <n v="3294630"/>
    <s v="Non-compliant"/>
    <x v="1"/>
    <n v="0.45089499999999999"/>
    <x v="71"/>
    <n v="0"/>
    <n v="83.057272727272732"/>
    <s v="Needs Monitoring"/>
    <s v="Original"/>
  </r>
  <r>
    <d v="2025-08-26T00:00:00"/>
    <n v="432"/>
    <n v="6000000"/>
    <n v="11000"/>
    <n v="66000"/>
    <n v="50000"/>
    <n v="4752000"/>
    <x v="72"/>
    <s v="Active"/>
    <s v="LAG49JK"/>
    <s v="Adebayo Ogunleye"/>
    <n v="1000000072"/>
    <x v="72"/>
    <n v="31000"/>
    <n v="1047596"/>
    <n v="2295596"/>
    <s v="Non-compliant"/>
    <x v="1"/>
    <n v="0.61740066666666671"/>
    <x v="72"/>
    <n v="0.46969696969696972"/>
    <n v="95.236000000000004"/>
    <s v="Needs Monitoring"/>
    <s v="Ghost"/>
  </r>
  <r>
    <d v="2025-04-27T00:00:00"/>
    <n v="360"/>
    <n v="6000000"/>
    <n v="10000"/>
    <n v="60000"/>
    <n v="75000"/>
    <n v="3600000"/>
    <x v="73"/>
    <s v="Frozen"/>
    <s v="MUS44GH"/>
    <s v="David Sule"/>
    <n v="1000000073"/>
    <x v="73"/>
    <n v="13000"/>
    <n v="1016239"/>
    <n v="3416239"/>
    <s v="Non-compliant"/>
    <x v="1"/>
    <n v="0.43062683333333335"/>
    <x v="73"/>
    <n v="0.21666666666666667"/>
    <n v="101.62390000000001"/>
    <s v="Needs Monitoring"/>
    <s v="Original"/>
  </r>
  <r>
    <d v="2025-07-20T00:00:00"/>
    <n v="481"/>
    <n v="6000000"/>
    <n v="9000"/>
    <n v="54000"/>
    <n v="75000"/>
    <n v="4329000"/>
    <x v="74"/>
    <s v="Active"/>
    <s v="LAG18EF"/>
    <s v="Kelvin Balogun"/>
    <n v="1000000074"/>
    <x v="74"/>
    <n v="34000"/>
    <n v="846442"/>
    <n v="2517442"/>
    <s v="Non-compliant"/>
    <x v="1"/>
    <n v="0.58042633333333338"/>
    <x v="74"/>
    <n v="0.62962962962962965"/>
    <n v="94.049111111111117"/>
    <s v="Needs Monitoring"/>
    <s v="Ghost"/>
  </r>
  <r>
    <d v="2025-03-01T00:00:00"/>
    <n v="411"/>
    <n v="6000000"/>
    <n v="10000"/>
    <n v="60000"/>
    <n v="100000"/>
    <n v="4110000"/>
    <x v="75"/>
    <s v="Active"/>
    <s v="LAG67JK"/>
    <s v="David Uche"/>
    <n v="1000000075"/>
    <x v="75"/>
    <n v="45500"/>
    <n v="-818441"/>
    <n v="1071559"/>
    <s v="Compliant"/>
    <x v="1"/>
    <n v="0.82140683333333331"/>
    <x v="75"/>
    <n v="0.7583333333333333"/>
    <n v="-81.844099999999997"/>
    <s v="Good"/>
    <s v="Original"/>
  </r>
  <r>
    <d v="2025-05-22T00:00:00"/>
    <n v="373"/>
    <n v="6000000"/>
    <n v="9000"/>
    <n v="54000"/>
    <n v="100000"/>
    <n v="3357000"/>
    <x v="76"/>
    <s v="Active"/>
    <s v="APP15EF"/>
    <s v="David Abubakar"/>
    <n v="1000000076"/>
    <x v="76"/>
    <n v="27000"/>
    <n v="211395"/>
    <n v="2854395"/>
    <s v="Non-compliant"/>
    <x v="1"/>
    <n v="0.5242675"/>
    <x v="76"/>
    <n v="0.5"/>
    <n v="23.488333333333333"/>
    <s v="Good"/>
    <s v="Original"/>
  </r>
  <r>
    <d v="2025-07-05T00:00:00"/>
    <n v="450"/>
    <n v="6000000"/>
    <n v="10000"/>
    <n v="60000"/>
    <n v="50000"/>
    <n v="4500000"/>
    <x v="77"/>
    <s v="Active"/>
    <s v="KTU66AB"/>
    <s v="Bright Obi"/>
    <n v="1000000077"/>
    <x v="77"/>
    <n v="46500"/>
    <n v="1420713"/>
    <n v="2920713"/>
    <s v="Non-compliant"/>
    <x v="1"/>
    <n v="0.51321450000000002"/>
    <x v="77"/>
    <n v="0.77500000000000002"/>
    <n v="142.07130000000001"/>
    <s v="Poor"/>
    <s v="Ghost"/>
  </r>
  <r>
    <d v="2025-04-06T00:00:00"/>
    <n v="334"/>
    <n v="6000000"/>
    <n v="11000"/>
    <n v="66000"/>
    <n v="100000"/>
    <n v="3674000"/>
    <x v="78"/>
    <s v="Active"/>
    <s v="EKY89LM"/>
    <s v="Musa Bello"/>
    <n v="1000000078"/>
    <x v="78"/>
    <n v="52000"/>
    <n v="784000"/>
    <n v="3110000"/>
    <s v="Non-compliant"/>
    <x v="1"/>
    <n v="0.48166666666666669"/>
    <x v="78"/>
    <n v="0.78787878787878785"/>
    <n v="71.272727272727266"/>
    <s v="Needs Monitoring"/>
    <s v="Original"/>
  </r>
  <r>
    <d v="2025-08-20T00:00:00"/>
    <n v="386"/>
    <n v="6000000"/>
    <n v="11000"/>
    <n v="66000"/>
    <n v="75000"/>
    <n v="4246000"/>
    <x v="79"/>
    <s v="Recovery"/>
    <s v="LAG90LM"/>
    <s v="Yusuf Lawal"/>
    <n v="1000000079"/>
    <x v="79"/>
    <n v="46500"/>
    <n v="1474398"/>
    <n v="3228398"/>
    <s v="Non-compliant"/>
    <x v="1"/>
    <n v="0.46193366666666669"/>
    <x v="79"/>
    <n v="0.70454545454545459"/>
    <n v="134.03618181818183"/>
    <s v="Poor"/>
    <s v="Ghost"/>
  </r>
  <r>
    <d v="2025-06-20T00:00:00"/>
    <n v="387"/>
    <n v="6000000"/>
    <n v="10000"/>
    <n v="60000"/>
    <n v="100000"/>
    <n v="3870000"/>
    <x v="80"/>
    <s v="Active"/>
    <s v="KTU51NP"/>
    <s v="Chinedu Nwosu"/>
    <n v="1000000080"/>
    <x v="80"/>
    <n v="18000"/>
    <n v="1412890"/>
    <n v="3542890"/>
    <s v="Non-compliant"/>
    <x v="1"/>
    <n v="0.40951833333333332"/>
    <x v="80"/>
    <n v="0.3"/>
    <n v="141.28899999999999"/>
    <s v="Poor"/>
    <s v="Ghost"/>
  </r>
  <r>
    <d v="2025-06-19T00:00:00"/>
    <n v="354"/>
    <n v="6000000"/>
    <n v="9000"/>
    <n v="54000"/>
    <n v="50000"/>
    <n v="3186000"/>
    <x v="81"/>
    <s v="Active"/>
    <s v="LAG32AB"/>
    <s v="Femi Abubakar"/>
    <n v="1000000081"/>
    <x v="81"/>
    <n v="60500"/>
    <n v="-966769"/>
    <n v="1847231"/>
    <s v="Compliant"/>
    <x v="1"/>
    <n v="0.69212816666666666"/>
    <x v="81"/>
    <n v="1.1203703703703705"/>
    <n v="-107.41877777777778"/>
    <s v="Good"/>
    <s v="Original"/>
  </r>
  <r>
    <d v="2025-07-28T00:00:00"/>
    <n v="384"/>
    <n v="6000000"/>
    <n v="9000"/>
    <n v="54000"/>
    <n v="50000"/>
    <n v="3456000"/>
    <x v="82"/>
    <s v="Active"/>
    <s v="EKY95AB"/>
    <s v="Joseph Nwosu"/>
    <n v="1000000082"/>
    <x v="82"/>
    <n v="55500"/>
    <n v="-221324"/>
    <n v="2322676"/>
    <s v="Compliant"/>
    <x v="1"/>
    <n v="0.61288733333333334"/>
    <x v="82"/>
    <n v="1.0277777777777777"/>
    <n v="-24.591555555555555"/>
    <s v="Good"/>
    <s v="Original"/>
  </r>
  <r>
    <d v="2025-06-22T00:00:00"/>
    <n v="376"/>
    <n v="6000000"/>
    <n v="10000"/>
    <n v="60000"/>
    <n v="100000"/>
    <n v="3760000"/>
    <x v="83"/>
    <s v="Active"/>
    <s v="EKY68NP"/>
    <s v="Yusuf Ojo"/>
    <n v="1000000083"/>
    <x v="83"/>
    <n v="56000"/>
    <n v="-582737"/>
    <n v="1657263"/>
    <s v="Compliant"/>
    <x v="1"/>
    <n v="0.72378949999999997"/>
    <x v="83"/>
    <n v="0.93333333333333335"/>
    <n v="-58.273699999999998"/>
    <s v="Good"/>
    <s v="Ghost"/>
  </r>
  <r>
    <d v="2025-07-02T00:00:00"/>
    <n v="331"/>
    <n v="6000000"/>
    <n v="10000"/>
    <n v="60000"/>
    <n v="50000"/>
    <n v="3310000"/>
    <x v="84"/>
    <s v="Active"/>
    <s v="EKY12NP"/>
    <s v="Musa Akinyemi"/>
    <n v="1000000084"/>
    <x v="84"/>
    <n v="35500"/>
    <n v="510621"/>
    <n v="3200621"/>
    <s v="Non-compliant"/>
    <x v="1"/>
    <n v="0.46656316666666664"/>
    <x v="84"/>
    <n v="0.59166666666666667"/>
    <n v="51.062100000000001"/>
    <s v="Needs Monitoring"/>
    <s v="Original"/>
  </r>
  <r>
    <d v="2025-08-23T00:00:00"/>
    <n v="385"/>
    <n v="6000000"/>
    <n v="10000"/>
    <n v="60000"/>
    <n v="100000"/>
    <n v="3850000"/>
    <x v="85"/>
    <s v="Recovered"/>
    <s v="MUS55CD"/>
    <s v="Michael Salami"/>
    <n v="1000000085"/>
    <x v="85"/>
    <n v="30500"/>
    <n v="1701153"/>
    <n v="3851153"/>
    <s v="Non-compliant"/>
    <x v="1"/>
    <n v="0.35814116666666668"/>
    <x v="85"/>
    <n v="0.5083333333333333"/>
    <n v="170.11529999999999"/>
    <s v="Poor"/>
    <s v="Ghost"/>
  </r>
  <r>
    <d v="2025-06-21T00:00:00"/>
    <n v="363"/>
    <n v="6000000"/>
    <n v="10000"/>
    <n v="60000"/>
    <n v="100000"/>
    <n v="3630000"/>
    <x v="86"/>
    <s v="Active"/>
    <s v="EKY51LM"/>
    <s v="Kelvin Johnson"/>
    <n v="1000000086"/>
    <x v="86"/>
    <n v="34000"/>
    <n v="663654"/>
    <n v="3033654"/>
    <s v="Non-compliant"/>
    <x v="1"/>
    <n v="0.49439100000000002"/>
    <x v="86"/>
    <n v="0.56666666666666665"/>
    <n v="66.365399999999994"/>
    <s v="Needs Monitoring"/>
    <s v="Original"/>
  </r>
  <r>
    <d v="2025-07-17T00:00:00"/>
    <n v="379"/>
    <n v="6000000"/>
    <n v="10000"/>
    <n v="60000"/>
    <n v="100000"/>
    <n v="3790000"/>
    <x v="87"/>
    <s v="Active"/>
    <s v="EKY71NP"/>
    <s v="Yusuf Balogun"/>
    <n v="1000000087"/>
    <x v="87"/>
    <n v="66500"/>
    <n v="58379"/>
    <n v="2268379"/>
    <s v="Non-compliant"/>
    <x v="1"/>
    <n v="0.62193683333333338"/>
    <x v="87"/>
    <n v="1.1083333333333334"/>
    <n v="5.8379000000000003"/>
    <s v="Good"/>
    <s v="Ghost"/>
  </r>
  <r>
    <d v="2025-06-28T00:00:00"/>
    <n v="401"/>
    <n v="6000000"/>
    <n v="10000"/>
    <n v="60000"/>
    <n v="50000"/>
    <n v="4010000"/>
    <x v="88"/>
    <s v="Active"/>
    <s v="MUS56AB"/>
    <s v="Musa Adeyemi"/>
    <n v="1000000088"/>
    <x v="88"/>
    <n v="30500"/>
    <n v="1039141"/>
    <n v="3029141"/>
    <s v="Non-compliant"/>
    <x v="1"/>
    <n v="0.49514316666666669"/>
    <x v="88"/>
    <n v="0.5083333333333333"/>
    <n v="103.9141"/>
    <s v="Needs Monitoring"/>
    <s v="Original"/>
  </r>
  <r>
    <d v="2025-06-03T00:00:00"/>
    <n v="340"/>
    <n v="6000000"/>
    <n v="10000"/>
    <n v="60000"/>
    <n v="100000"/>
    <n v="3400000"/>
    <x v="89"/>
    <s v="Active"/>
    <s v="KTU96CD"/>
    <s v="David Adeyemi"/>
    <n v="1000000089"/>
    <x v="89"/>
    <n v="61000"/>
    <n v="-317071"/>
    <n v="2282929"/>
    <s v="Compliant"/>
    <x v="1"/>
    <n v="0.61951183333333337"/>
    <x v="89"/>
    <n v="1.0166666666666666"/>
    <n v="-31.707100000000001"/>
    <s v="Good"/>
    <s v="Original"/>
  </r>
  <r>
    <d v="2025-08-13T00:00:00"/>
    <n v="461"/>
    <n v="6000000"/>
    <n v="10000"/>
    <n v="60000"/>
    <n v="100000"/>
    <n v="4610000"/>
    <x v="90"/>
    <s v="Active"/>
    <s v="APP24CD"/>
    <s v="Chinedu Okafor"/>
    <n v="1000000090"/>
    <x v="90"/>
    <n v="42000"/>
    <n v="1639263"/>
    <n v="3029263"/>
    <s v="Non-compliant"/>
    <x v="1"/>
    <n v="0.49512283333333335"/>
    <x v="90"/>
    <n v="0.7"/>
    <n v="163.9263"/>
    <s v="Poor"/>
    <s v="Ghost"/>
  </r>
  <r>
    <d v="2025-03-25T00:00:00"/>
    <n v="420"/>
    <n v="6000000"/>
    <n v="9000"/>
    <n v="54000"/>
    <n v="100000"/>
    <n v="3780000"/>
    <x v="91"/>
    <s v="Active"/>
    <s v="MUS29GH"/>
    <s v="Ibrahim Sule"/>
    <n v="1000000091"/>
    <x v="91"/>
    <n v="0"/>
    <n v="554398"/>
    <n v="2774398"/>
    <s v="Non-compliant"/>
    <x v="1"/>
    <n v="0.53760033333333335"/>
    <x v="91"/>
    <n v="0"/>
    <n v="61.599777777777781"/>
    <s v="Needs Monitoring"/>
    <s v="Ghost"/>
  </r>
  <r>
    <d v="2025-05-11T00:00:00"/>
    <n v="468"/>
    <n v="6000000"/>
    <n v="10000"/>
    <n v="60000"/>
    <n v="100000"/>
    <n v="4680000"/>
    <x v="92"/>
    <s v="Active"/>
    <s v="LAG56AB"/>
    <s v="Godwin Ogunleye"/>
    <n v="1000000092"/>
    <x v="92"/>
    <n v="34500"/>
    <n v="1533790"/>
    <n v="2853790"/>
    <s v="Non-compliant"/>
    <x v="1"/>
    <n v="0.52436833333333333"/>
    <x v="92"/>
    <n v="0.57499999999999996"/>
    <n v="153.37899999999999"/>
    <s v="Poor"/>
    <s v="Original"/>
  </r>
  <r>
    <d v="2025-03-16T00:00:00"/>
    <n v="454"/>
    <n v="6000000"/>
    <n v="11000"/>
    <n v="66000"/>
    <n v="75000"/>
    <n v="4994000"/>
    <x v="93"/>
    <s v="Active"/>
    <s v="KTU94CD"/>
    <s v="Femi Adeyemi"/>
    <n v="1000000093"/>
    <x v="93"/>
    <n v="40000"/>
    <n v="-495729"/>
    <n v="510271"/>
    <s v="Compliant"/>
    <x v="1"/>
    <n v="0.91495483333333338"/>
    <x v="93"/>
    <n v="0.60606060606060608"/>
    <n v="-45.066272727272725"/>
    <s v="Good"/>
    <s v="Original"/>
  </r>
  <r>
    <d v="2025-04-02T00:00:00"/>
    <n v="450"/>
    <n v="6000000"/>
    <n v="9000"/>
    <n v="54000"/>
    <n v="50000"/>
    <n v="4050000"/>
    <x v="94"/>
    <s v="Active"/>
    <s v="LAG52NP"/>
    <s v="Samuel Salami"/>
    <n v="1000000094"/>
    <x v="94"/>
    <n v="36500"/>
    <n v="702155"/>
    <n v="2652155"/>
    <s v="Non-compliant"/>
    <x v="1"/>
    <n v="0.55797416666666666"/>
    <x v="94"/>
    <n v="0.67592592592592593"/>
    <n v="78.017222222222216"/>
    <s v="Needs Monitoring"/>
    <s v="Ghost"/>
  </r>
  <r>
    <d v="2025-04-07T00:00:00"/>
    <n v="478"/>
    <n v="6000000"/>
    <n v="9000"/>
    <n v="54000"/>
    <n v="100000"/>
    <n v="4302000"/>
    <x v="95"/>
    <s v="Active"/>
    <s v="KTU26AB"/>
    <s v="Godwin Lawal"/>
    <n v="1000000095"/>
    <x v="95"/>
    <n v="37500"/>
    <n v="684400"/>
    <n v="2382400"/>
    <s v="Non-compliant"/>
    <x v="1"/>
    <n v="0.60293333333333332"/>
    <x v="95"/>
    <n v="0.69444444444444442"/>
    <n v="76.044444444444451"/>
    <s v="Needs Monitoring"/>
    <s v="Original"/>
  </r>
  <r>
    <d v="2025-03-05T00:00:00"/>
    <n v="383"/>
    <n v="6000000"/>
    <n v="9000"/>
    <n v="54000"/>
    <n v="75000"/>
    <n v="3447000"/>
    <x v="96"/>
    <s v="Frozen"/>
    <s v="MUS24LM"/>
    <s v="Emeka Sule"/>
    <n v="1000000096"/>
    <x v="96"/>
    <n v="0"/>
    <n v="-927772"/>
    <n v="1625228"/>
    <s v="Compliant"/>
    <x v="1"/>
    <n v="0.72912866666666665"/>
    <x v="96"/>
    <n v="0"/>
    <n v="-103.08577777777778"/>
    <s v="Good"/>
    <s v="Ghost"/>
  </r>
  <r>
    <d v="2025-06-24T00:00:00"/>
    <n v="394"/>
    <n v="6000000"/>
    <n v="9000"/>
    <n v="54000"/>
    <n v="100000"/>
    <n v="3546000"/>
    <x v="97"/>
    <s v="Active"/>
    <s v="EKY68LM"/>
    <s v="Adebayo Okafor"/>
    <n v="1000000097"/>
    <x v="97"/>
    <n v="24500"/>
    <n v="70826"/>
    <n v="2524826"/>
    <s v="Non-compliant"/>
    <x v="1"/>
    <n v="0.57919566666666666"/>
    <x v="97"/>
    <n v="0.45370370370370372"/>
    <n v="7.8695555555555554"/>
    <s v="Good"/>
    <s v="Original"/>
  </r>
  <r>
    <d v="2025-06-11T00:00:00"/>
    <n v="345"/>
    <n v="6000000"/>
    <n v="11000"/>
    <n v="66000"/>
    <n v="100000"/>
    <n v="3795000"/>
    <x v="98"/>
    <s v="Active"/>
    <s v="KTU51JK"/>
    <s v="Samuel Bello"/>
    <n v="1000000098"/>
    <x v="98"/>
    <n v="23500"/>
    <n v="275540"/>
    <n v="2480540"/>
    <s v="Non-compliant"/>
    <x v="1"/>
    <n v="0.58657666666666664"/>
    <x v="98"/>
    <n v="0.35606060606060608"/>
    <n v="25.049090909090911"/>
    <s v="Good"/>
    <s v="Ghost"/>
  </r>
  <r>
    <d v="2025-08-07T00:00:00"/>
    <n v="383"/>
    <n v="6000000"/>
    <n v="10000"/>
    <n v="60000"/>
    <n v="75000"/>
    <n v="3830000"/>
    <x v="99"/>
    <s v="Active"/>
    <s v="MUS87GH"/>
    <s v="Ibrahim Eze"/>
    <n v="1000000099"/>
    <x v="99"/>
    <n v="53000"/>
    <n v="424254"/>
    <n v="2594254"/>
    <s v="Non-compliant"/>
    <x v="1"/>
    <n v="0.56762433333333329"/>
    <x v="99"/>
    <n v="0.8833333333333333"/>
    <n v="42.425400000000003"/>
    <s v="Needs Monitoring"/>
    <s v="Original"/>
  </r>
  <r>
    <d v="2025-06-24T00:00:00"/>
    <n v="400"/>
    <n v="6000000"/>
    <n v="9000"/>
    <n v="54000"/>
    <n v="75000"/>
    <n v="3600000"/>
    <x v="100"/>
    <s v="Active"/>
    <s v="APP22EF"/>
    <s v="Kelvin Balogun"/>
    <n v="1000000100"/>
    <x v="100"/>
    <n v="44000"/>
    <n v="-125011"/>
    <n v="2274989"/>
    <s v="Compliant"/>
    <x v="2"/>
    <n v="0.62083516666666672"/>
    <x v="100"/>
    <n v="0.81481481481481477"/>
    <n v="-13.890111111111111"/>
    <s v="Good"/>
    <s v="Ghost"/>
  </r>
  <r>
    <d v="2025-06-04T00:00:00"/>
    <n v="353"/>
    <n v="6000000"/>
    <n v="9000"/>
    <n v="54000"/>
    <n v="100000"/>
    <n v="3177000"/>
    <x v="101"/>
    <s v="Active"/>
    <s v="KTU65AB"/>
    <s v="Godwin Ibrahim"/>
    <n v="1000000101"/>
    <x v="101"/>
    <n v="60500"/>
    <n v="-1140359"/>
    <n v="1682641"/>
    <s v="Compliant"/>
    <x v="2"/>
    <n v="0.71955983333333329"/>
    <x v="101"/>
    <n v="1.1203703703703705"/>
    <n v="-126.70655555555555"/>
    <s v="Good"/>
    <s v="Original"/>
  </r>
  <r>
    <d v="2025-07-29T00:00:00"/>
    <n v="448"/>
    <n v="6000000"/>
    <n v="10000"/>
    <n v="60000"/>
    <n v="100000"/>
    <n v="4480000"/>
    <x v="102"/>
    <s v="Active"/>
    <s v="KTU46JK"/>
    <s v="Yusuf Uche"/>
    <n v="1000000102"/>
    <x v="102"/>
    <n v="18500"/>
    <n v="1662783"/>
    <n v="3182783"/>
    <s v="Non-compliant"/>
    <x v="2"/>
    <n v="0.46953616666666664"/>
    <x v="102"/>
    <n v="0.30833333333333335"/>
    <n v="166.2783"/>
    <s v="Poor"/>
    <s v="Original"/>
  </r>
  <r>
    <d v="2025-04-09T00:00:00"/>
    <n v="337"/>
    <n v="6000000"/>
    <n v="11000"/>
    <n v="66000"/>
    <n v="50000"/>
    <n v="3707000"/>
    <x v="103"/>
    <s v="Frozen"/>
    <s v="KTU45JK"/>
    <s v="Tunde Williams"/>
    <n v="1000000103"/>
    <x v="103"/>
    <n v="0"/>
    <n v="-1749513"/>
    <n v="543487"/>
    <s v="Compliant"/>
    <x v="2"/>
    <n v="0.90941883333333329"/>
    <x v="103"/>
    <n v="0"/>
    <n v="-159.04663636363637"/>
    <s v="Good"/>
    <s v="Ghost"/>
  </r>
  <r>
    <d v="2025-08-16T00:00:00"/>
    <n v="450"/>
    <n v="6000000"/>
    <n v="10000"/>
    <n v="60000"/>
    <n v="50000"/>
    <n v="4500000"/>
    <x v="104"/>
    <s v="Active"/>
    <s v="EKY54AB"/>
    <s v="Daniel Ibrahim"/>
    <n v="1000000104"/>
    <x v="104"/>
    <n v="50500"/>
    <n v="767742"/>
    <n v="2267742"/>
    <s v="Non-compliant"/>
    <x v="2"/>
    <n v="0.62204300000000001"/>
    <x v="104"/>
    <n v="0.84166666666666667"/>
    <n v="76.774199999999993"/>
    <s v="Needs Monitoring"/>
    <s v="Original"/>
  </r>
  <r>
    <d v="2025-04-06T00:00:00"/>
    <n v="357"/>
    <n v="6000000"/>
    <n v="10000"/>
    <n v="60000"/>
    <n v="50000"/>
    <n v="3570000"/>
    <x v="105"/>
    <s v="Active"/>
    <s v="APP53CD"/>
    <s v="Godwin Nwosu"/>
    <n v="1000000105"/>
    <x v="105"/>
    <n v="56000"/>
    <n v="-454004"/>
    <n v="1975996"/>
    <s v="Compliant"/>
    <x v="2"/>
    <n v="0.67066733333333328"/>
    <x v="105"/>
    <n v="0.93333333333333335"/>
    <n v="-45.400399999999998"/>
    <s v="Good"/>
    <s v="Ghost"/>
  </r>
  <r>
    <d v="2025-07-24T00:00:00"/>
    <n v="390"/>
    <n v="6000000"/>
    <n v="10000"/>
    <n v="60000"/>
    <n v="50000"/>
    <n v="3900000"/>
    <x v="106"/>
    <s v="Active"/>
    <s v="KTU44GH"/>
    <s v="Kelvin Sule"/>
    <n v="1000000106"/>
    <x v="106"/>
    <n v="34000"/>
    <n v="534980"/>
    <n v="2634980"/>
    <s v="Non-compliant"/>
    <x v="2"/>
    <n v="0.56083666666666665"/>
    <x v="106"/>
    <n v="0.56666666666666665"/>
    <n v="53.497999999999998"/>
    <s v="Needs Monitoring"/>
    <s v="Ghost"/>
  </r>
  <r>
    <d v="2025-06-15T00:00:00"/>
    <n v="433"/>
    <n v="6000000"/>
    <n v="10000"/>
    <n v="60000"/>
    <n v="50000"/>
    <n v="4330000"/>
    <x v="107"/>
    <s v="Active"/>
    <s v="KTU46LM"/>
    <s v="Ayomide Sule"/>
    <n v="1000000107"/>
    <x v="107"/>
    <n v="63000"/>
    <n v="535186"/>
    <n v="2205186"/>
    <s v="Non-compliant"/>
    <x v="2"/>
    <n v="0.63246899999999995"/>
    <x v="107"/>
    <n v="1.05"/>
    <n v="53.518599999999999"/>
    <s v="Needs Monitoring"/>
    <s v="Original"/>
  </r>
  <r>
    <d v="2025-04-26T00:00:00"/>
    <n v="480"/>
    <n v="6000000"/>
    <n v="11000"/>
    <n v="66000"/>
    <n v="100000"/>
    <n v="5280000"/>
    <x v="108"/>
    <s v="Frozen"/>
    <s v="LAG27NP"/>
    <s v="Oluwaseun Nwosu"/>
    <n v="1000000108"/>
    <x v="108"/>
    <n v="0"/>
    <n v="1001117"/>
    <n v="1721117"/>
    <s v="Non-compliant"/>
    <x v="2"/>
    <n v="0.71314716666666667"/>
    <x v="108"/>
    <n v="0"/>
    <n v="91.010636363636365"/>
    <s v="Needs Monitoring"/>
    <s v="Original"/>
  </r>
  <r>
    <d v="2025-03-02T00:00:00"/>
    <n v="473"/>
    <n v="6000000"/>
    <n v="11000"/>
    <n v="66000"/>
    <n v="100000"/>
    <n v="5203000"/>
    <x v="109"/>
    <s v="Active"/>
    <s v="MUS39JK"/>
    <s v="Tochukwu Uche"/>
    <n v="1000000109"/>
    <x v="109"/>
    <n v="54000"/>
    <n v="209711"/>
    <n v="1006711"/>
    <s v="Non-compliant"/>
    <x v="2"/>
    <n v="0.83221483333333335"/>
    <x v="109"/>
    <n v="0.81818181818181823"/>
    <n v="19.064636363636364"/>
    <s v="Good"/>
    <s v="Ghost"/>
  </r>
  <r>
    <d v="2025-03-11T00:00:00"/>
    <n v="393"/>
    <n v="6000000"/>
    <n v="11000"/>
    <n v="66000"/>
    <n v="50000"/>
    <n v="4323000"/>
    <x v="110"/>
    <s v="Active"/>
    <s v="MUS64JK"/>
    <s v="Musa Williams"/>
    <n v="1000000110"/>
    <x v="78"/>
    <n v="66000"/>
    <n v="1433000"/>
    <n v="3110000"/>
    <s v="Non-compliant"/>
    <x v="2"/>
    <n v="0.48166666666666669"/>
    <x v="110"/>
    <n v="1"/>
    <n v="130.27272727272728"/>
    <s v="Poor"/>
    <s v="Ghost"/>
  </r>
  <r>
    <d v="2025-06-12T00:00:00"/>
    <n v="414"/>
    <n v="6000000"/>
    <n v="10000"/>
    <n v="60000"/>
    <n v="75000"/>
    <n v="4140000"/>
    <x v="111"/>
    <s v="Active"/>
    <s v="EKY21GH"/>
    <s v="Ibrahim Lawal"/>
    <n v="1000000111"/>
    <x v="110"/>
    <n v="27000"/>
    <n v="571465"/>
    <n v="2431465"/>
    <s v="Non-compliant"/>
    <x v="2"/>
    <n v="0.59475583333333337"/>
    <x v="111"/>
    <n v="0.45"/>
    <n v="57.146500000000003"/>
    <s v="Needs Monitoring"/>
    <s v="Original"/>
  </r>
  <r>
    <d v="2025-05-19T00:00:00"/>
    <n v="405"/>
    <n v="6000000"/>
    <n v="10000"/>
    <n v="60000"/>
    <n v="50000"/>
    <n v="4050000"/>
    <x v="112"/>
    <s v="Frozen"/>
    <s v="MUS91AB"/>
    <s v="Bright Okoro"/>
    <n v="1000000112"/>
    <x v="111"/>
    <n v="0"/>
    <n v="134999"/>
    <n v="2084999"/>
    <s v="Non-compliant"/>
    <x v="2"/>
    <n v="0.65250016666666666"/>
    <x v="112"/>
    <n v="0"/>
    <n v="13.4999"/>
    <s v="Good"/>
    <s v="Ghost"/>
  </r>
  <r>
    <d v="2025-05-29T00:00:00"/>
    <n v="380"/>
    <n v="6000000"/>
    <n v="9000"/>
    <n v="54000"/>
    <n v="50000"/>
    <n v="3420000"/>
    <x v="113"/>
    <s v="Active"/>
    <s v="LAG87CD"/>
    <s v="Emeka Johnson"/>
    <n v="1000000113"/>
    <x v="112"/>
    <n v="21500"/>
    <n v="-348467"/>
    <n v="2231533"/>
    <s v="Compliant"/>
    <x v="2"/>
    <n v="0.62807783333333334"/>
    <x v="113"/>
    <n v="0.39814814814814814"/>
    <n v="-38.718555555555554"/>
    <s v="Good"/>
    <s v="Original"/>
  </r>
  <r>
    <d v="2025-06-27T00:00:00"/>
    <n v="371"/>
    <n v="6000000"/>
    <n v="11000"/>
    <n v="66000"/>
    <n v="100000"/>
    <n v="4081000"/>
    <x v="114"/>
    <s v="Active"/>
    <s v="EKY29GH"/>
    <s v="Emeka Sule"/>
    <n v="1000000114"/>
    <x v="113"/>
    <n v="64000"/>
    <n v="289333"/>
    <n v="2208333"/>
    <s v="Non-compliant"/>
    <x v="2"/>
    <n v="0.63194450000000002"/>
    <x v="114"/>
    <n v="0.96969696969696972"/>
    <n v="26.303000000000001"/>
    <s v="Good"/>
    <s v="Original"/>
  </r>
  <r>
    <d v="2025-07-08T00:00:00"/>
    <n v="354"/>
    <n v="6000000"/>
    <n v="10000"/>
    <n v="60000"/>
    <n v="75000"/>
    <n v="3540000"/>
    <x v="115"/>
    <s v="Frozen"/>
    <s v="EKY46AB"/>
    <s v="Emeka Salami"/>
    <n v="1000000115"/>
    <x v="114"/>
    <n v="0"/>
    <n v="858323"/>
    <n v="3318323"/>
    <s v="Non-compliant"/>
    <x v="2"/>
    <n v="0.44694616666666664"/>
    <x v="115"/>
    <n v="0"/>
    <n v="85.832300000000004"/>
    <s v="Needs Monitoring"/>
    <s v="Ghost"/>
  </r>
  <r>
    <d v="2025-07-27T00:00:00"/>
    <n v="407"/>
    <n v="6000000"/>
    <n v="10000"/>
    <n v="60000"/>
    <n v="75000"/>
    <n v="4070000"/>
    <x v="116"/>
    <s v="Active"/>
    <s v="MUS70JK"/>
    <s v="Samuel Okafor"/>
    <n v="1000000116"/>
    <x v="115"/>
    <n v="46500"/>
    <n v="1148492"/>
    <n v="3078492"/>
    <s v="Non-compliant"/>
    <x v="2"/>
    <n v="0.48691800000000002"/>
    <x v="116"/>
    <n v="0.77500000000000002"/>
    <n v="114.8492"/>
    <s v="Needs Monitoring"/>
    <s v="Original"/>
  </r>
  <r>
    <d v="2025-05-27T00:00:00"/>
    <n v="420"/>
    <n v="6000000"/>
    <n v="10000"/>
    <n v="60000"/>
    <n v="100000"/>
    <n v="4200000"/>
    <x v="117"/>
    <s v="Active"/>
    <s v="APP77JK"/>
    <s v="Femi Johnson"/>
    <n v="1000000117"/>
    <x v="116"/>
    <n v="38500"/>
    <n v="-151600"/>
    <n v="1648400"/>
    <s v="Compliant"/>
    <x v="2"/>
    <n v="0.72526666666666662"/>
    <x v="117"/>
    <n v="0.64166666666666672"/>
    <n v="-15.16"/>
    <s v="Good"/>
    <s v="Ghost"/>
  </r>
  <r>
    <d v="2025-05-12T00:00:00"/>
    <n v="337"/>
    <n v="6000000"/>
    <n v="11000"/>
    <n v="66000"/>
    <n v="75000"/>
    <n v="3707000"/>
    <x v="118"/>
    <s v="Frozen"/>
    <s v="KTU52AB"/>
    <s v="Tochukwu Abubakar"/>
    <n v="1000000118"/>
    <x v="117"/>
    <n v="33500"/>
    <n v="505096"/>
    <n v="2798096"/>
    <s v="Non-compliant"/>
    <x v="2"/>
    <n v="0.53365066666666672"/>
    <x v="118"/>
    <n v="0.50757575757575757"/>
    <n v="45.917818181818184"/>
    <s v="Needs Monitoring"/>
    <s v="Original"/>
  </r>
  <r>
    <d v="2025-08-16T00:00:00"/>
    <n v="414"/>
    <n v="6000000"/>
    <n v="9000"/>
    <n v="54000"/>
    <n v="75000"/>
    <n v="3726000"/>
    <x v="119"/>
    <s v="Active"/>
    <s v="EKY49LM"/>
    <s v="Musa Ibrahim"/>
    <n v="1000000119"/>
    <x v="118"/>
    <n v="23000"/>
    <n v="948230"/>
    <n v="3222230"/>
    <s v="Non-compliant"/>
    <x v="2"/>
    <n v="0.46296166666666666"/>
    <x v="119"/>
    <n v="0.42592592592592593"/>
    <n v="105.35888888888888"/>
    <s v="Needs Monitoring"/>
    <s v="Ghost"/>
  </r>
  <r>
    <d v="2025-05-19T00:00:00"/>
    <n v="402"/>
    <n v="6000000"/>
    <n v="11000"/>
    <n v="66000"/>
    <n v="100000"/>
    <n v="4422000"/>
    <x v="120"/>
    <s v="Frozen"/>
    <s v="KTU92LM"/>
    <s v="Kelvin Okoro"/>
    <n v="1000000120"/>
    <x v="119"/>
    <n v="0"/>
    <n v="352972"/>
    <n v="1930972"/>
    <s v="Non-compliant"/>
    <x v="2"/>
    <n v="0.67817133333333335"/>
    <x v="120"/>
    <n v="0"/>
    <n v="32.088363636363638"/>
    <s v="Good"/>
    <s v="Original"/>
  </r>
  <r>
    <d v="2025-06-01T00:00:00"/>
    <n v="371"/>
    <n v="6000000"/>
    <n v="10000"/>
    <n v="60000"/>
    <n v="50000"/>
    <n v="3710000"/>
    <x v="121"/>
    <s v="Active"/>
    <s v="LAG38CD"/>
    <s v="Samuel Bello"/>
    <n v="1000000121"/>
    <x v="120"/>
    <n v="41000"/>
    <n v="-739267"/>
    <n v="1550733"/>
    <s v="Compliant"/>
    <x v="2"/>
    <n v="0.74154450000000005"/>
    <x v="121"/>
    <n v="0.68333333333333335"/>
    <n v="-73.926699999999997"/>
    <s v="Good"/>
    <s v="Original"/>
  </r>
  <r>
    <d v="2025-07-08T00:00:00"/>
    <n v="391"/>
    <n v="6000000"/>
    <n v="10000"/>
    <n v="60000"/>
    <n v="100000"/>
    <n v="3910000"/>
    <x v="122"/>
    <s v="Active"/>
    <s v="MUS58CD"/>
    <s v="Daniel Johnson"/>
    <n v="1000000122"/>
    <x v="121"/>
    <n v="27500"/>
    <n v="1455168"/>
    <n v="3545168"/>
    <s v="Non-compliant"/>
    <x v="2"/>
    <n v="0.40913866666666665"/>
    <x v="122"/>
    <n v="0.45833333333333331"/>
    <n v="145.51679999999999"/>
    <s v="Poor"/>
    <s v="Ghost"/>
  </r>
  <r>
    <d v="2025-06-14T00:00:00"/>
    <n v="439"/>
    <n v="6000000"/>
    <n v="10000"/>
    <n v="60000"/>
    <n v="100000"/>
    <n v="4390000"/>
    <x v="123"/>
    <s v="Active"/>
    <s v="APP39JK"/>
    <s v="Tunde Nwosu"/>
    <n v="1000000123"/>
    <x v="122"/>
    <n v="30500"/>
    <n v="688541"/>
    <n v="2298541"/>
    <s v="Non-compliant"/>
    <x v="2"/>
    <n v="0.61690983333333338"/>
    <x v="123"/>
    <n v="0.5083333333333333"/>
    <n v="68.854100000000003"/>
    <s v="Needs Monitoring"/>
    <s v="Original"/>
  </r>
  <r>
    <d v="2025-04-19T00:00:00"/>
    <n v="438"/>
    <n v="6000000"/>
    <n v="10000"/>
    <n v="60000"/>
    <n v="100000"/>
    <n v="4380000"/>
    <x v="124"/>
    <s v="Active"/>
    <s v="EKY58JK"/>
    <s v="Bright Williams"/>
    <n v="1000000124"/>
    <x v="123"/>
    <n v="70000"/>
    <n v="-1379805"/>
    <n v="240195"/>
    <s v="Compliant"/>
    <x v="2"/>
    <n v="0.95996749999999997"/>
    <x v="124"/>
    <n v="1.1666666666666667"/>
    <n v="-137.98050000000001"/>
    <s v="Good"/>
    <s v="Ghost"/>
  </r>
  <r>
    <d v="2025-04-21T00:00:00"/>
    <n v="446"/>
    <n v="6000000"/>
    <n v="9000"/>
    <n v="54000"/>
    <n v="75000"/>
    <n v="4014000"/>
    <x v="125"/>
    <s v="Frozen"/>
    <s v="MUS23LM"/>
    <s v="Bright Eze"/>
    <n v="1000000125"/>
    <x v="124"/>
    <n v="0"/>
    <n v="791376"/>
    <n v="2777376"/>
    <s v="Non-compliant"/>
    <x v="2"/>
    <n v="0.53710400000000003"/>
    <x v="125"/>
    <n v="0"/>
    <n v="87.930666666666667"/>
    <s v="Needs Monitoring"/>
    <s v="Original"/>
  </r>
  <r>
    <d v="2025-04-11T00:00:00"/>
    <n v="390"/>
    <n v="6000000"/>
    <n v="10000"/>
    <n v="60000"/>
    <n v="75000"/>
    <n v="3900000"/>
    <x v="126"/>
    <s v="Active"/>
    <s v="KTU38NP"/>
    <s v="Joseph Uche"/>
    <n v="1000000126"/>
    <x v="125"/>
    <n v="70000"/>
    <n v="-2068500"/>
    <n v="31500"/>
    <s v="Compliant"/>
    <x v="2"/>
    <n v="0.99475000000000002"/>
    <x v="126"/>
    <n v="1.1666666666666667"/>
    <n v="-206.85"/>
    <s v="Good"/>
    <s v="Ghost"/>
  </r>
  <r>
    <d v="2025-06-15T00:00:00"/>
    <n v="450"/>
    <n v="6000000"/>
    <n v="10000"/>
    <n v="60000"/>
    <n v="75000"/>
    <n v="4500000"/>
    <x v="127"/>
    <s v="Active"/>
    <s v="EKY38AB"/>
    <s v="Victor Eze"/>
    <n v="1000000127"/>
    <x v="126"/>
    <n v="35000"/>
    <n v="2076410"/>
    <n v="3576410"/>
    <s v="Non-compliant"/>
    <x v="2"/>
    <n v="0.40393166666666669"/>
    <x v="127"/>
    <n v="0.58333333333333337"/>
    <n v="207.64099999999999"/>
    <s v="Poor"/>
    <s v="Original"/>
  </r>
  <r>
    <d v="2025-04-07T00:00:00"/>
    <n v="478"/>
    <n v="6000000"/>
    <n v="9000"/>
    <n v="54000"/>
    <n v="50000"/>
    <n v="4302000"/>
    <x v="128"/>
    <s v="Active"/>
    <s v="LAG70GH"/>
    <s v="Femi Adeyemi"/>
    <n v="1000000128"/>
    <x v="127"/>
    <n v="45000"/>
    <n v="-675029"/>
    <n v="1022971"/>
    <s v="Compliant"/>
    <x v="2"/>
    <n v="0.82950483333333336"/>
    <x v="128"/>
    <n v="0.83333333333333337"/>
    <n v="-75.00322222222222"/>
    <s v="Good"/>
    <s v="Original"/>
  </r>
  <r>
    <d v="2025-03-05T00:00:00"/>
    <n v="471"/>
    <n v="6000000"/>
    <n v="10000"/>
    <n v="60000"/>
    <n v="50000"/>
    <n v="4710000"/>
    <x v="129"/>
    <s v="Active"/>
    <s v="APP24NP"/>
    <s v="Yusuf Lawal"/>
    <n v="1000000129"/>
    <x v="128"/>
    <n v="40000"/>
    <n v="-528269"/>
    <n v="761731"/>
    <s v="Compliant"/>
    <x v="2"/>
    <n v="0.87304483333333338"/>
    <x v="129"/>
    <n v="0.66666666666666663"/>
    <n v="-52.826900000000002"/>
    <s v="Good"/>
    <s v="Ghost"/>
  </r>
  <r>
    <d v="2025-03-13T00:00:00"/>
    <n v="450"/>
    <n v="6000000"/>
    <n v="9000"/>
    <n v="54000"/>
    <n v="75000"/>
    <n v="4050000"/>
    <x v="130"/>
    <s v="Frozen"/>
    <s v="APP86JK"/>
    <s v="Adebayo Okoro"/>
    <n v="1000000130"/>
    <x v="129"/>
    <n v="0"/>
    <n v="349867"/>
    <n v="2299867"/>
    <s v="Non-compliant"/>
    <x v="2"/>
    <n v="0.61668883333333335"/>
    <x v="130"/>
    <n v="0"/>
    <n v="38.874111111111112"/>
    <s v="Good"/>
    <s v="Ghost"/>
  </r>
  <r>
    <d v="2025-04-06T00:00:00"/>
    <n v="467"/>
    <n v="6000000"/>
    <n v="10000"/>
    <n v="60000"/>
    <n v="75000"/>
    <n v="4670000"/>
    <x v="131"/>
    <s v="Active"/>
    <s v="LAG95LM"/>
    <s v="Emeka Okoro"/>
    <n v="1000000131"/>
    <x v="130"/>
    <n v="10500"/>
    <n v="2436594"/>
    <n v="3766594"/>
    <s v="Non-compliant"/>
    <x v="2"/>
    <n v="0.37223433333333333"/>
    <x v="131"/>
    <n v="0.17499999999999999"/>
    <n v="243.65940000000001"/>
    <s v="Poor"/>
    <s v="Original"/>
  </r>
  <r>
    <d v="2025-03-18T00:00:00"/>
    <n v="406"/>
    <n v="6000000"/>
    <n v="10000"/>
    <n v="60000"/>
    <n v="75000"/>
    <n v="4060000"/>
    <x v="132"/>
    <s v="Active"/>
    <s v="EKY42LM"/>
    <s v="Adebayo Uche"/>
    <n v="1000000132"/>
    <x v="131"/>
    <n v="36000"/>
    <n v="390882"/>
    <n v="2330882"/>
    <s v="Non-compliant"/>
    <x v="2"/>
    <n v="0.61151966666666668"/>
    <x v="132"/>
    <n v="0.6"/>
    <n v="39.088200000000001"/>
    <s v="Good"/>
    <s v="Ghost"/>
  </r>
  <r>
    <d v="2025-05-28T00:00:00"/>
    <n v="343"/>
    <n v="6000000"/>
    <n v="9000"/>
    <n v="54000"/>
    <n v="100000"/>
    <n v="3087000"/>
    <x v="133"/>
    <s v="Active"/>
    <s v="LAG15EF"/>
    <s v="Tochukwu Balogun"/>
    <n v="1000000133"/>
    <x v="132"/>
    <n v="27000"/>
    <n v="-1622067"/>
    <n v="1290933"/>
    <s v="Compliant"/>
    <x v="2"/>
    <n v="0.78484449999999994"/>
    <x v="133"/>
    <n v="0.5"/>
    <n v="-180.22966666666667"/>
    <s v="Good"/>
    <s v="Original"/>
  </r>
  <r>
    <d v="2025-08-09T00:00:00"/>
    <n v="413"/>
    <n v="6000000"/>
    <n v="9000"/>
    <n v="54000"/>
    <n v="50000"/>
    <n v="3717000"/>
    <x v="134"/>
    <s v="Active"/>
    <s v="KTU47CD"/>
    <s v="Chinedu Ojo"/>
    <n v="1000000134"/>
    <x v="133"/>
    <n v="22500"/>
    <n v="778148"/>
    <n v="3061148"/>
    <s v="Non-compliant"/>
    <x v="2"/>
    <n v="0.48980866666666667"/>
    <x v="134"/>
    <n v="0.41666666666666669"/>
    <n v="86.460888888888888"/>
    <s v="Needs Monitoring"/>
    <s v="Ghost"/>
  </r>
  <r>
    <d v="2025-05-20T00:00:00"/>
    <n v="338"/>
    <n v="6000000"/>
    <n v="10000"/>
    <n v="60000"/>
    <n v="100000"/>
    <n v="3380000"/>
    <x v="135"/>
    <s v="Frozen"/>
    <s v="EKY14NP"/>
    <s v="Michael Nwosu"/>
    <n v="1000000135"/>
    <x v="134"/>
    <n v="0"/>
    <n v="-1812535"/>
    <n v="807465"/>
    <s v="Compliant"/>
    <x v="2"/>
    <n v="0.86542249999999998"/>
    <x v="135"/>
    <n v="0"/>
    <n v="-181.2535"/>
    <s v="Good"/>
    <s v="Original"/>
  </r>
  <r>
    <d v="2025-08-15T00:00:00"/>
    <n v="368"/>
    <n v="6000000"/>
    <n v="10000"/>
    <n v="60000"/>
    <n v="75000"/>
    <n v="3680000"/>
    <x v="136"/>
    <s v="Active"/>
    <s v="APP66GH"/>
    <s v="Victor Johnson"/>
    <n v="1000000136"/>
    <x v="135"/>
    <n v="31500"/>
    <n v="-418372"/>
    <n v="1901628"/>
    <s v="Compliant"/>
    <x v="2"/>
    <n v="0.68306199999999995"/>
    <x v="136"/>
    <n v="0.52500000000000002"/>
    <n v="-41.837200000000003"/>
    <s v="Good"/>
    <s v="Original"/>
  </r>
  <r>
    <d v="2025-07-11T00:00:00"/>
    <n v="384"/>
    <n v="6000000"/>
    <n v="10000"/>
    <n v="60000"/>
    <n v="50000"/>
    <n v="3840000"/>
    <x v="137"/>
    <s v="Active"/>
    <s v="MUS47EF"/>
    <s v="Ibrahim Bello"/>
    <n v="1000000137"/>
    <x v="136"/>
    <n v="47000"/>
    <n v="661720"/>
    <n v="2821720"/>
    <s v="Non-compliant"/>
    <x v="2"/>
    <n v="0.52971333333333337"/>
    <x v="137"/>
    <n v="0.78333333333333333"/>
    <n v="66.171999999999997"/>
    <s v="Needs Monitoring"/>
    <s v="Ghost"/>
  </r>
  <r>
    <d v="2025-06-23T00:00:00"/>
    <n v="342"/>
    <n v="6000000"/>
    <n v="11000"/>
    <n v="66000"/>
    <n v="50000"/>
    <n v="3762000"/>
    <x v="138"/>
    <s v="Active"/>
    <s v="EKY88GH"/>
    <s v="Oluwaseun Okafor"/>
    <n v="1000000138"/>
    <x v="137"/>
    <n v="57000"/>
    <n v="-692002"/>
    <n v="1545998"/>
    <s v="Compliant"/>
    <x v="2"/>
    <n v="0.74233366666666667"/>
    <x v="138"/>
    <n v="0.86363636363636365"/>
    <n v="-62.909272727272729"/>
    <s v="Good"/>
    <s v="Original"/>
  </r>
  <r>
    <d v="2025-08-11T00:00:00"/>
    <n v="467"/>
    <n v="6000000"/>
    <n v="11000"/>
    <n v="66000"/>
    <n v="75000"/>
    <n v="5137000"/>
    <x v="139"/>
    <s v="Active"/>
    <s v="KTU28NP"/>
    <s v="Femi Obi"/>
    <n v="1000000139"/>
    <x v="138"/>
    <n v="66000"/>
    <n v="1251365"/>
    <n v="2114365"/>
    <s v="Non-compliant"/>
    <x v="2"/>
    <n v="0.64760583333333333"/>
    <x v="139"/>
    <n v="1"/>
    <n v="113.76045454545455"/>
    <s v="Needs Monitoring"/>
    <s v="Ghost"/>
  </r>
  <r>
    <d v="2025-03-18T00:00:00"/>
    <n v="465"/>
    <n v="6000000"/>
    <n v="9000"/>
    <n v="54000"/>
    <n v="100000"/>
    <n v="4185000"/>
    <x v="140"/>
    <s v="Active"/>
    <s v="MUS29LM"/>
    <s v="Joseph Uche"/>
    <n v="1000000140"/>
    <x v="139"/>
    <n v="42500"/>
    <n v="-193226"/>
    <n v="1621774"/>
    <s v="Compliant"/>
    <x v="2"/>
    <n v="0.72970433333333329"/>
    <x v="140"/>
    <n v="0.78703703703703709"/>
    <n v="-21.469555555555555"/>
    <s v="Good"/>
    <s v="Original"/>
  </r>
  <r>
    <d v="2025-03-20T00:00:00"/>
    <n v="359"/>
    <n v="6000000"/>
    <n v="9000"/>
    <n v="54000"/>
    <n v="100000"/>
    <n v="3231000"/>
    <x v="141"/>
    <s v="Frozen"/>
    <s v="LAG24AB"/>
    <s v="Daniel Sule"/>
    <n v="1000000141"/>
    <x v="140"/>
    <n v="0"/>
    <n v="-2134844"/>
    <n v="634156"/>
    <s v="Compliant"/>
    <x v="2"/>
    <n v="0.89430733333333334"/>
    <x v="141"/>
    <n v="0"/>
    <n v="-237.20488888888889"/>
    <s v="Good"/>
    <s v="Ghost"/>
  </r>
  <r>
    <d v="2025-07-22T00:00:00"/>
    <n v="466"/>
    <n v="6000000"/>
    <n v="10000"/>
    <n v="60000"/>
    <n v="75000"/>
    <n v="4660000"/>
    <x v="142"/>
    <s v="Active"/>
    <s v="MUS46LM"/>
    <s v="David Ojo"/>
    <n v="1000000142"/>
    <x v="141"/>
    <n v="40000"/>
    <n v="823601"/>
    <n v="2163601"/>
    <s v="Non-compliant"/>
    <x v="2"/>
    <n v="0.63939983333333328"/>
    <x v="142"/>
    <n v="0.66666666666666663"/>
    <n v="82.360100000000003"/>
    <s v="Needs Monitoring"/>
    <s v="Original"/>
  </r>
  <r>
    <d v="2025-03-19T00:00:00"/>
    <n v="447"/>
    <n v="6000000"/>
    <n v="11000"/>
    <n v="66000"/>
    <n v="50000"/>
    <n v="4917000"/>
    <x v="143"/>
    <s v="Active"/>
    <s v="EKY18JK"/>
    <s v="Tochukwu Nwosu"/>
    <n v="1000000143"/>
    <x v="142"/>
    <n v="60000"/>
    <n v="-202868"/>
    <n v="880132"/>
    <s v="Compliant"/>
    <x v="2"/>
    <n v="0.85331133333333331"/>
    <x v="143"/>
    <n v="0.90909090909090906"/>
    <n v="-18.442545454545453"/>
    <s v="Good"/>
    <s v="Original"/>
  </r>
  <r>
    <d v="2025-04-10T00:00:00"/>
    <n v="379"/>
    <n v="6000000"/>
    <n v="9000"/>
    <n v="54000"/>
    <n v="75000"/>
    <n v="3411000"/>
    <x v="144"/>
    <s v="Active"/>
    <s v="LAG40NP"/>
    <s v="David Adeyemi"/>
    <n v="1000000144"/>
    <x v="143"/>
    <n v="55000"/>
    <n v="-891505"/>
    <n v="1697495"/>
    <s v="Compliant"/>
    <x v="2"/>
    <n v="0.71708416666666663"/>
    <x v="144"/>
    <n v="1.0185185185185186"/>
    <n v="-99.056111111111107"/>
    <s v="Good"/>
    <s v="Ghost"/>
  </r>
  <r>
    <d v="2025-06-28T00:00:00"/>
    <n v="412"/>
    <n v="6000000"/>
    <n v="9000"/>
    <n v="54000"/>
    <n v="100000"/>
    <n v="3708000"/>
    <x v="145"/>
    <s v="Active"/>
    <s v="APP77GH"/>
    <s v="Kelvin Madu"/>
    <n v="1000000145"/>
    <x v="144"/>
    <n v="22000"/>
    <n v="330926"/>
    <n v="2622926"/>
    <s v="Non-compliant"/>
    <x v="2"/>
    <n v="0.56284566666666669"/>
    <x v="145"/>
    <n v="0.40740740740740738"/>
    <n v="36.769555555555556"/>
    <s v="Good"/>
    <s v="Ghost"/>
  </r>
  <r>
    <d v="2025-05-21T00:00:00"/>
    <n v="372"/>
    <n v="6000000"/>
    <n v="10000"/>
    <n v="60000"/>
    <n v="75000"/>
    <n v="3720000"/>
    <x v="146"/>
    <s v="Active"/>
    <s v="LAG80LM"/>
    <s v="Ayomide Johnson"/>
    <n v="1000000146"/>
    <x v="145"/>
    <n v="41500"/>
    <n v="664023"/>
    <n v="2944023"/>
    <s v="Non-compliant"/>
    <x v="2"/>
    <n v="0.50932949999999999"/>
    <x v="146"/>
    <n v="0.69166666666666665"/>
    <n v="66.402299999999997"/>
    <s v="Needs Monitoring"/>
    <s v="Original"/>
  </r>
  <r>
    <d v="2025-07-07T00:00:00"/>
    <n v="438"/>
    <n v="6000000"/>
    <n v="10000"/>
    <n v="60000"/>
    <n v="50000"/>
    <n v="4380000"/>
    <x v="147"/>
    <s v="Active"/>
    <s v="LAG51LM"/>
    <s v="Tunde Uche"/>
    <n v="1000000147"/>
    <x v="146"/>
    <n v="49000"/>
    <n v="1165982"/>
    <n v="2785982"/>
    <s v="Non-compliant"/>
    <x v="2"/>
    <n v="0.53566966666666671"/>
    <x v="147"/>
    <n v="0.81666666666666665"/>
    <n v="116.59820000000001"/>
    <s v="Needs Monitoring"/>
    <s v="Original"/>
  </r>
  <r>
    <d v="2025-04-20T00:00:00"/>
    <n v="438"/>
    <n v="6000000"/>
    <n v="10000"/>
    <n v="60000"/>
    <n v="50000"/>
    <n v="4380000"/>
    <x v="148"/>
    <s v="Frozen"/>
    <s v="MUS92CD"/>
    <s v="Ayomide Madu"/>
    <n v="1000000148"/>
    <x v="147"/>
    <n v="0"/>
    <n v="-750314"/>
    <n v="869686"/>
    <s v="Compliant"/>
    <x v="2"/>
    <n v="0.8550523333333333"/>
    <x v="148"/>
    <n v="0"/>
    <n v="-75.031400000000005"/>
    <s v="Good"/>
    <s v="Ghost"/>
  </r>
  <r>
    <d v="2025-04-20T00:00:00"/>
    <n v="438"/>
    <n v="6000000"/>
    <n v="10000"/>
    <n v="60000"/>
    <n v="100000"/>
    <n v="4380000"/>
    <x v="149"/>
    <s v="Active"/>
    <s v="KTU15LM"/>
    <s v="Ayomide Akinyemi"/>
    <n v="1000000149"/>
    <x v="148"/>
    <n v="31500"/>
    <n v="484302"/>
    <n v="2104302"/>
    <s v="Non-compliant"/>
    <x v="2"/>
    <n v="0.64928300000000005"/>
    <x v="149"/>
    <n v="0.52500000000000002"/>
    <n v="48.430199999999999"/>
    <s v="Needs Monitoring"/>
    <s v="Origin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d v="2025-08-11T00:00:00"/>
    <n v="474"/>
    <n v="6000000"/>
    <n v="10000"/>
    <n v="60000"/>
    <n v="50000"/>
    <n v="4740000"/>
    <x v="0"/>
    <x v="0"/>
    <s v="KTU96LM"/>
    <x v="0"/>
    <n v="1000000000"/>
    <n v="3111227"/>
    <n v="38500"/>
    <n v="1628773"/>
    <n v="2888773"/>
    <x v="0"/>
    <x v="0"/>
    <n v="0.51853783333333336"/>
    <n v="0.65637700421940925"/>
    <n v="0.64166666666666672"/>
    <n v="162.87729999999999"/>
    <x v="0"/>
    <x v="0"/>
  </r>
  <r>
    <d v="2025-03-09T00:00:00"/>
    <n v="353"/>
    <n v="6000000"/>
    <n v="10000"/>
    <n v="60000"/>
    <n v="50000"/>
    <n v="3530000"/>
    <x v="1"/>
    <x v="0"/>
    <s v="MUS35LM"/>
    <x v="1"/>
    <n v="1000000001"/>
    <n v="3405943"/>
    <n v="36000"/>
    <n v="124057"/>
    <n v="2594057"/>
    <x v="0"/>
    <x v="0"/>
    <n v="0.56765716666666666"/>
    <n v="0.96485637393767709"/>
    <n v="0.6"/>
    <n v="12.4057"/>
    <x v="1"/>
    <x v="1"/>
  </r>
  <r>
    <d v="2025-07-29T00:00:00"/>
    <n v="461"/>
    <n v="6000000"/>
    <n v="10000"/>
    <n v="60000"/>
    <n v="50000"/>
    <n v="4610000"/>
    <x v="2"/>
    <x v="1"/>
    <s v="EKY29CD"/>
    <x v="2"/>
    <n v="1000000002"/>
    <n v="3656796"/>
    <n v="0"/>
    <n v="953204"/>
    <n v="2343204"/>
    <x v="0"/>
    <x v="0"/>
    <n v="0.60946599999999995"/>
    <n v="0.79323123644251625"/>
    <n v="0"/>
    <n v="95.320400000000006"/>
    <x v="2"/>
    <x v="0"/>
  </r>
  <r>
    <d v="2025-03-25T00:00:00"/>
    <n v="344"/>
    <n v="6000000"/>
    <n v="10000"/>
    <n v="60000"/>
    <n v="75000"/>
    <n v="3440000"/>
    <x v="3"/>
    <x v="0"/>
    <s v="APP78AB"/>
    <x v="3"/>
    <n v="1000000003"/>
    <n v="2946949"/>
    <n v="70000"/>
    <n v="493051"/>
    <n v="3053051"/>
    <x v="0"/>
    <x v="0"/>
    <n v="0.49115816666666667"/>
    <n v="0.85667122093023251"/>
    <n v="1.1666666666666667"/>
    <n v="49.305100000000003"/>
    <x v="2"/>
    <x v="0"/>
  </r>
  <r>
    <d v="2025-08-08T00:00:00"/>
    <n v="382"/>
    <n v="6000000"/>
    <n v="10000"/>
    <n v="60000"/>
    <n v="100000"/>
    <n v="3820000"/>
    <x v="4"/>
    <x v="0"/>
    <s v="LAG47AB"/>
    <x v="4"/>
    <n v="1000000004"/>
    <n v="3454652"/>
    <n v="36500"/>
    <n v="365348"/>
    <n v="2545348"/>
    <x v="0"/>
    <x v="0"/>
    <n v="0.57577533333333331"/>
    <n v="0.90435916230366498"/>
    <n v="0.60833333333333328"/>
    <n v="36.534799999999997"/>
    <x v="1"/>
    <x v="1"/>
  </r>
  <r>
    <d v="2025-06-25T00:00:00"/>
    <n v="446"/>
    <n v="6000000"/>
    <n v="10000"/>
    <n v="60000"/>
    <n v="50000"/>
    <n v="4460000"/>
    <x v="5"/>
    <x v="0"/>
    <s v="KTU87LM"/>
    <x v="5"/>
    <n v="1000000005"/>
    <n v="3837891"/>
    <n v="41500"/>
    <n v="622109"/>
    <n v="2162109"/>
    <x v="0"/>
    <x v="0"/>
    <n v="0.63964849999999995"/>
    <n v="0.8605136771300449"/>
    <n v="0.69166666666666665"/>
    <n v="62.210900000000002"/>
    <x v="2"/>
    <x v="0"/>
  </r>
  <r>
    <d v="2025-04-11T00:00:00"/>
    <n v="468"/>
    <n v="6000000"/>
    <n v="11000"/>
    <n v="66000"/>
    <n v="75000"/>
    <n v="5148000"/>
    <x v="6"/>
    <x v="0"/>
    <s v="EKY17CD"/>
    <x v="6"/>
    <n v="1000000006"/>
    <n v="5418043"/>
    <n v="44000"/>
    <n v="-270043"/>
    <n v="581957"/>
    <x v="1"/>
    <x v="0"/>
    <n v="0.90300716666666669"/>
    <n v="1.0524559052059053"/>
    <n v="0.66666666666666663"/>
    <n v="-24.549363636363637"/>
    <x v="1"/>
    <x v="1"/>
  </r>
  <r>
    <d v="2025-03-17T00:00:00"/>
    <n v="359"/>
    <n v="6000000"/>
    <n v="9000"/>
    <n v="54000"/>
    <n v="100000"/>
    <n v="3231000"/>
    <x v="7"/>
    <x v="1"/>
    <s v="APP92GH"/>
    <x v="7"/>
    <n v="1000000007"/>
    <n v="3490896"/>
    <n v="0"/>
    <n v="-259896"/>
    <n v="2509104"/>
    <x v="1"/>
    <x v="0"/>
    <n v="0.581816"/>
    <n v="1.0804382544103992"/>
    <n v="0"/>
    <n v="-28.877333333333333"/>
    <x v="1"/>
    <x v="1"/>
  </r>
  <r>
    <d v="2025-07-22T00:00:00"/>
    <n v="344"/>
    <n v="6000000"/>
    <n v="10000"/>
    <n v="60000"/>
    <n v="100000"/>
    <n v="3440000"/>
    <x v="8"/>
    <x v="0"/>
    <s v="EKY38CD"/>
    <x v="8"/>
    <n v="1000000008"/>
    <n v="3329579"/>
    <n v="57500"/>
    <n v="110421"/>
    <n v="2670421"/>
    <x v="0"/>
    <x v="0"/>
    <n v="0.55492983333333334"/>
    <n v="0.96790087209302322"/>
    <n v="0.95833333333333337"/>
    <n v="11.0421"/>
    <x v="1"/>
    <x v="0"/>
  </r>
  <r>
    <d v="2025-08-08T00:00:00"/>
    <n v="456"/>
    <n v="6000000"/>
    <n v="9000"/>
    <n v="54000"/>
    <n v="100000"/>
    <n v="4104000"/>
    <x v="9"/>
    <x v="0"/>
    <s v="APP86GH"/>
    <x v="9"/>
    <n v="1000000009"/>
    <n v="2919733"/>
    <n v="37500"/>
    <n v="1184267"/>
    <n v="3080267"/>
    <x v="0"/>
    <x v="0"/>
    <n v="0.48662216666666669"/>
    <n v="0.71143591617933721"/>
    <n v="0.69444444444444442"/>
    <n v="131.58522222222223"/>
    <x v="2"/>
    <x v="0"/>
  </r>
  <r>
    <d v="2025-03-30T00:00:00"/>
    <n v="371"/>
    <n v="6000000"/>
    <n v="10000"/>
    <n v="60000"/>
    <n v="100000"/>
    <n v="3710000"/>
    <x v="10"/>
    <x v="0"/>
    <s v="LAG68AB"/>
    <x v="10"/>
    <n v="1000000010"/>
    <n v="5819111"/>
    <n v="54000"/>
    <n v="-2109111"/>
    <n v="180889"/>
    <x v="1"/>
    <x v="0"/>
    <n v="0.96985183333333336"/>
    <n v="1.5684935309973045"/>
    <n v="0.9"/>
    <n v="-210.9111"/>
    <x v="1"/>
    <x v="1"/>
  </r>
  <r>
    <d v="2025-07-08T00:00:00"/>
    <n v="411"/>
    <n v="6000000"/>
    <n v="10000"/>
    <n v="60000"/>
    <n v="100000"/>
    <n v="4110000"/>
    <x v="11"/>
    <x v="0"/>
    <s v="MUS35CD"/>
    <x v="11"/>
    <n v="1000000011"/>
    <n v="3200100"/>
    <n v="32500"/>
    <n v="909900"/>
    <n v="2799900"/>
    <x v="0"/>
    <x v="0"/>
    <n v="0.53334999999999999"/>
    <n v="0.77861313868613136"/>
    <n v="0.54166666666666663"/>
    <n v="90.99"/>
    <x v="2"/>
    <x v="0"/>
  </r>
  <r>
    <d v="2025-05-22T00:00:00"/>
    <n v="375"/>
    <n v="6000000"/>
    <n v="11000"/>
    <n v="66000"/>
    <n v="50000"/>
    <n v="4125000"/>
    <x v="12"/>
    <x v="1"/>
    <s v="LAG17CD"/>
    <x v="12"/>
    <n v="1000000012"/>
    <n v="4493876"/>
    <n v="28500"/>
    <n v="-368876"/>
    <n v="1506124"/>
    <x v="1"/>
    <x v="0"/>
    <n v="0.74897933333333333"/>
    <n v="1.0894244848484849"/>
    <n v="0.43181818181818182"/>
    <n v="-33.534181818181821"/>
    <x v="1"/>
    <x v="1"/>
  </r>
  <r>
    <d v="2025-07-03T00:00:00"/>
    <n v="335"/>
    <n v="6000000"/>
    <n v="10000"/>
    <n v="60000"/>
    <n v="100000"/>
    <n v="3350000"/>
    <x v="13"/>
    <x v="1"/>
    <s v="MUS31EF"/>
    <x v="13"/>
    <n v="1000000013"/>
    <n v="2727200"/>
    <n v="0"/>
    <n v="622800"/>
    <n v="3272800"/>
    <x v="0"/>
    <x v="0"/>
    <n v="0.45453333333333334"/>
    <n v="0.81408955223880597"/>
    <n v="0"/>
    <n v="62.28"/>
    <x v="2"/>
    <x v="0"/>
  </r>
  <r>
    <d v="2025-08-19T00:00:00"/>
    <n v="353"/>
    <n v="6000000"/>
    <n v="10000"/>
    <n v="60000"/>
    <n v="75000"/>
    <n v="3530000"/>
    <x v="14"/>
    <x v="0"/>
    <s v="LAG18EF"/>
    <x v="14"/>
    <n v="1000000014"/>
    <n v="3298421"/>
    <n v="57500"/>
    <n v="231579"/>
    <n v="2701579"/>
    <x v="0"/>
    <x v="0"/>
    <n v="0.54973683333333334"/>
    <n v="0.93439688385269126"/>
    <n v="0.95833333333333337"/>
    <n v="23.157900000000001"/>
    <x v="1"/>
    <x v="0"/>
  </r>
  <r>
    <d v="2025-07-29T00:00:00"/>
    <n v="420"/>
    <n v="6000000"/>
    <n v="9000"/>
    <n v="54000"/>
    <n v="50000"/>
    <n v="3780000"/>
    <x v="15"/>
    <x v="0"/>
    <s v="LAG18AB"/>
    <x v="15"/>
    <n v="1000000015"/>
    <n v="3128364"/>
    <n v="27000"/>
    <n v="651636"/>
    <n v="2871636"/>
    <x v="0"/>
    <x v="0"/>
    <n v="0.52139400000000002"/>
    <n v="0.82760952380952379"/>
    <n v="0.5"/>
    <n v="72.403999999999996"/>
    <x v="2"/>
    <x v="1"/>
  </r>
  <r>
    <d v="2025-05-11T00:00:00"/>
    <n v="337"/>
    <n v="6000000"/>
    <n v="11000"/>
    <n v="66000"/>
    <n v="50000"/>
    <n v="3707000"/>
    <x v="16"/>
    <x v="0"/>
    <s v="LAG70NP"/>
    <x v="16"/>
    <n v="1000000016"/>
    <n v="4939967"/>
    <n v="64000"/>
    <n v="-1232967"/>
    <n v="1060033"/>
    <x v="1"/>
    <x v="0"/>
    <n v="0.82332783333333337"/>
    <n v="1.3326050714863771"/>
    <n v="0.96969696969696972"/>
    <n v="-112.08790909090909"/>
    <x v="1"/>
    <x v="0"/>
  </r>
  <r>
    <d v="2025-08-16T00:00:00"/>
    <n v="440"/>
    <n v="6000000"/>
    <n v="11000"/>
    <n v="66000"/>
    <n v="75000"/>
    <n v="4840000"/>
    <x v="17"/>
    <x v="0"/>
    <s v="KTU17GH"/>
    <x v="2"/>
    <n v="1000000017"/>
    <n v="4392657"/>
    <n v="61000"/>
    <n v="447343"/>
    <n v="1607343"/>
    <x v="0"/>
    <x v="0"/>
    <n v="0.73210949999999997"/>
    <n v="0.90757376033057846"/>
    <n v="0.9242424242424242"/>
    <n v="40.667545454545454"/>
    <x v="1"/>
    <x v="1"/>
  </r>
  <r>
    <d v="2025-04-18T00:00:00"/>
    <n v="363"/>
    <n v="6000000"/>
    <n v="11000"/>
    <n v="66000"/>
    <n v="50000"/>
    <n v="3993000"/>
    <x v="18"/>
    <x v="0"/>
    <s v="LAG19GH"/>
    <x v="17"/>
    <n v="1000000018"/>
    <n v="5322598"/>
    <n v="52000"/>
    <n v="-1329598"/>
    <n v="677402"/>
    <x v="1"/>
    <x v="0"/>
    <n v="0.88709966666666662"/>
    <n v="1.3329822188830454"/>
    <n v="0.78787878787878785"/>
    <n v="-120.87254545454546"/>
    <x v="1"/>
    <x v="1"/>
  </r>
  <r>
    <d v="2025-07-17T00:00:00"/>
    <n v="481"/>
    <n v="6000000"/>
    <n v="10000"/>
    <n v="60000"/>
    <n v="50000"/>
    <n v="4810000"/>
    <x v="19"/>
    <x v="1"/>
    <s v="APP37NP"/>
    <x v="18"/>
    <n v="1000000019"/>
    <n v="2567845"/>
    <n v="0"/>
    <n v="2242155"/>
    <n v="3432155"/>
    <x v="0"/>
    <x v="0"/>
    <n v="0.42797416666666666"/>
    <n v="0.53385550935550941"/>
    <n v="0"/>
    <n v="224.21549999999999"/>
    <x v="0"/>
    <x v="0"/>
  </r>
  <r>
    <d v="2025-03-01T00:00:00"/>
    <n v="413"/>
    <n v="6000000"/>
    <n v="11000"/>
    <n v="66000"/>
    <n v="75000"/>
    <n v="4543000"/>
    <x v="20"/>
    <x v="0"/>
    <s v="LAG34EF"/>
    <x v="19"/>
    <n v="1000000020"/>
    <n v="3000000"/>
    <n v="67500"/>
    <n v="1543000"/>
    <n v="3000000"/>
    <x v="0"/>
    <x v="0"/>
    <n v="0.5"/>
    <n v="0.66035659255998236"/>
    <n v="1.0227272727272727"/>
    <n v="140.27272727272728"/>
    <x v="0"/>
    <x v="1"/>
  </r>
  <r>
    <d v="2025-05-20T00:00:00"/>
    <n v="467"/>
    <n v="6000000"/>
    <n v="10000"/>
    <n v="60000"/>
    <n v="50000"/>
    <n v="4670000"/>
    <x v="21"/>
    <x v="0"/>
    <s v="LAG17JK"/>
    <x v="20"/>
    <n v="1000000021"/>
    <n v="3479509"/>
    <n v="49500"/>
    <n v="1190491"/>
    <n v="2520491"/>
    <x v="0"/>
    <x v="0"/>
    <n v="0.57991816666666662"/>
    <n v="0.74507687366167019"/>
    <n v="0.82499999999999996"/>
    <n v="119.0491"/>
    <x v="2"/>
    <x v="0"/>
  </r>
  <r>
    <d v="2025-03-18T00:00:00"/>
    <n v="425"/>
    <n v="6000000"/>
    <n v="9000"/>
    <n v="54000"/>
    <n v="75000"/>
    <n v="3825000"/>
    <x v="22"/>
    <x v="0"/>
    <s v="MUS86AB"/>
    <x v="21"/>
    <n v="1000000022"/>
    <n v="3628975"/>
    <n v="18500"/>
    <n v="196025"/>
    <n v="2371025"/>
    <x v="0"/>
    <x v="0"/>
    <n v="0.60482916666666664"/>
    <n v="0.94875163398692808"/>
    <n v="0.34259259259259262"/>
    <n v="21.780555555555555"/>
    <x v="1"/>
    <x v="0"/>
  </r>
  <r>
    <d v="2025-05-06T00:00:00"/>
    <n v="381"/>
    <n v="6000000"/>
    <n v="9000"/>
    <n v="54000"/>
    <n v="100000"/>
    <n v="3429000"/>
    <x v="23"/>
    <x v="0"/>
    <s v="LAG95LM"/>
    <x v="22"/>
    <n v="1000000023"/>
    <n v="3844560"/>
    <n v="42500"/>
    <n v="-415560"/>
    <n v="2155440"/>
    <x v="1"/>
    <x v="0"/>
    <n v="0.64076"/>
    <n v="1.1211898512685914"/>
    <n v="0.78703703703703709"/>
    <n v="-46.173333333333332"/>
    <x v="1"/>
    <x v="1"/>
  </r>
  <r>
    <d v="2025-06-26T00:00:00"/>
    <n v="385"/>
    <n v="6000000"/>
    <n v="10000"/>
    <n v="60000"/>
    <n v="50000"/>
    <n v="3850000"/>
    <x v="24"/>
    <x v="0"/>
    <s v="LAG54AB"/>
    <x v="23"/>
    <n v="1000000024"/>
    <n v="3406613"/>
    <n v="46000"/>
    <n v="443387"/>
    <n v="2593387"/>
    <x v="0"/>
    <x v="0"/>
    <n v="0.56776883333333328"/>
    <n v="0.88483454545454543"/>
    <n v="0.76666666666666672"/>
    <n v="44.338700000000003"/>
    <x v="2"/>
    <x v="0"/>
  </r>
  <r>
    <d v="2025-06-21T00:00:00"/>
    <n v="420"/>
    <n v="6000000"/>
    <n v="10000"/>
    <n v="60000"/>
    <n v="100000"/>
    <n v="4200000"/>
    <x v="25"/>
    <x v="0"/>
    <s v="KTU27EF"/>
    <x v="24"/>
    <n v="1000000025"/>
    <n v="4295827"/>
    <n v="65000"/>
    <n v="-95827"/>
    <n v="1704173"/>
    <x v="1"/>
    <x v="0"/>
    <n v="0.71597116666666671"/>
    <n v="1.0228159523809524"/>
    <n v="1.0833333333333333"/>
    <n v="-9.5827000000000009"/>
    <x v="1"/>
    <x v="1"/>
  </r>
  <r>
    <d v="2025-05-12T00:00:00"/>
    <n v="421"/>
    <n v="6000000"/>
    <n v="9000"/>
    <n v="54000"/>
    <n v="100000"/>
    <n v="3789000"/>
    <x v="26"/>
    <x v="0"/>
    <s v="MUS72EF"/>
    <x v="25"/>
    <n v="1000000026"/>
    <n v="3683875"/>
    <n v="40000"/>
    <n v="105125"/>
    <n v="2316125"/>
    <x v="0"/>
    <x v="0"/>
    <n v="0.61397916666666663"/>
    <n v="0.97225521245711266"/>
    <n v="0.7407407407407407"/>
    <n v="11.680555555555555"/>
    <x v="1"/>
    <x v="0"/>
  </r>
  <r>
    <d v="2025-05-10T00:00:00"/>
    <n v="465"/>
    <n v="6000000"/>
    <n v="10000"/>
    <n v="60000"/>
    <n v="50000"/>
    <n v="4650000"/>
    <x v="27"/>
    <x v="0"/>
    <s v="LAG66JK"/>
    <x v="26"/>
    <n v="1000000027"/>
    <n v="4091382"/>
    <n v="44500"/>
    <n v="558618"/>
    <n v="1908618"/>
    <x v="0"/>
    <x v="0"/>
    <n v="0.68189699999999998"/>
    <n v="0.8798670967741935"/>
    <n v="0.7416666666666667"/>
    <n v="55.861800000000002"/>
    <x v="2"/>
    <x v="0"/>
  </r>
  <r>
    <d v="2025-03-20T00:00:00"/>
    <n v="403"/>
    <n v="6000000"/>
    <n v="9000"/>
    <n v="54000"/>
    <n v="100000"/>
    <n v="3627000"/>
    <x v="28"/>
    <x v="1"/>
    <s v="APP26AB"/>
    <x v="27"/>
    <n v="1000000028"/>
    <n v="3989141"/>
    <n v="0"/>
    <n v="-362141"/>
    <n v="2010859"/>
    <x v="1"/>
    <x v="0"/>
    <n v="0.66485683333333334"/>
    <n v="1.0998458781362008"/>
    <n v="0"/>
    <n v="-40.237888888888889"/>
    <x v="1"/>
    <x v="1"/>
  </r>
  <r>
    <d v="2025-05-31T00:00:00"/>
    <n v="443"/>
    <n v="6000000"/>
    <n v="9000"/>
    <n v="54000"/>
    <n v="100000"/>
    <n v="3987000"/>
    <x v="29"/>
    <x v="0"/>
    <s v="MUS62JK"/>
    <x v="28"/>
    <n v="1000000029"/>
    <n v="4051111"/>
    <n v="37500"/>
    <n v="-64111"/>
    <n v="1948889"/>
    <x v="1"/>
    <x v="0"/>
    <n v="0.67518516666666661"/>
    <n v="1.016080010032606"/>
    <n v="0.69444444444444442"/>
    <n v="-7.123444444444444"/>
    <x v="1"/>
    <x v="1"/>
  </r>
  <r>
    <d v="2025-04-15T00:00:00"/>
    <n v="398"/>
    <n v="6000000"/>
    <n v="11000"/>
    <n v="66000"/>
    <n v="50000"/>
    <n v="4378000"/>
    <x v="30"/>
    <x v="0"/>
    <s v="APP95NP"/>
    <x v="29"/>
    <n v="1000000030"/>
    <n v="4886057"/>
    <n v="37500"/>
    <n v="-508057"/>
    <n v="1113943"/>
    <x v="1"/>
    <x v="0"/>
    <n v="0.81434283333333335"/>
    <n v="1.1160477386934673"/>
    <n v="0.56818181818181823"/>
    <n v="-46.186999999999998"/>
    <x v="1"/>
    <x v="0"/>
  </r>
  <r>
    <d v="2025-06-06T00:00:00"/>
    <n v="439"/>
    <n v="6000000"/>
    <n v="10000"/>
    <n v="60000"/>
    <n v="75000"/>
    <n v="4390000"/>
    <x v="31"/>
    <x v="1"/>
    <s v="EKY49NP"/>
    <x v="30"/>
    <n v="1000000031"/>
    <n v="2915936"/>
    <n v="0"/>
    <n v="1474064"/>
    <n v="3084064"/>
    <x v="0"/>
    <x v="0"/>
    <n v="0.48598933333333333"/>
    <n v="0.66422232346241461"/>
    <n v="0"/>
    <n v="147.40639999999999"/>
    <x v="0"/>
    <x v="0"/>
  </r>
  <r>
    <d v="2025-04-19T00:00:00"/>
    <n v="425"/>
    <n v="6000000"/>
    <n v="11000"/>
    <n v="66000"/>
    <n v="75000"/>
    <n v="4675000"/>
    <x v="32"/>
    <x v="0"/>
    <s v="EKY92JK"/>
    <x v="31"/>
    <n v="1000000032"/>
    <n v="5719384"/>
    <n v="62000"/>
    <n v="-1044384"/>
    <n v="280616"/>
    <x v="1"/>
    <x v="0"/>
    <n v="0.95323066666666667"/>
    <n v="1.2233976470588235"/>
    <n v="0.93939393939393945"/>
    <n v="-94.944000000000003"/>
    <x v="1"/>
    <x v="1"/>
  </r>
  <r>
    <d v="2025-05-06T00:00:00"/>
    <n v="355"/>
    <n v="6000000"/>
    <n v="9000"/>
    <n v="54000"/>
    <n v="100000"/>
    <n v="3195000"/>
    <x v="33"/>
    <x v="0"/>
    <s v="EKY50GH"/>
    <x v="32"/>
    <n v="1000000033"/>
    <n v="4051901"/>
    <n v="44500"/>
    <n v="-856901"/>
    <n v="1948099"/>
    <x v="1"/>
    <x v="0"/>
    <n v="0.67531683333333337"/>
    <n v="1.2682006259780907"/>
    <n v="0.82407407407407407"/>
    <n v="-95.211222222222219"/>
    <x v="1"/>
    <x v="0"/>
  </r>
  <r>
    <d v="2025-07-26T00:00:00"/>
    <n v="336"/>
    <n v="6000000"/>
    <n v="9000"/>
    <n v="54000"/>
    <n v="75000"/>
    <n v="3024000"/>
    <x v="34"/>
    <x v="0"/>
    <s v="MUS78LM"/>
    <x v="33"/>
    <n v="1000000034"/>
    <n v="3580944"/>
    <n v="24500"/>
    <n v="-556944"/>
    <n v="2419056"/>
    <x v="1"/>
    <x v="0"/>
    <n v="0.59682400000000002"/>
    <n v="1.1841746031746032"/>
    <n v="0.45370370370370372"/>
    <n v="-61.882666666666665"/>
    <x v="1"/>
    <x v="1"/>
  </r>
  <r>
    <d v="2025-08-18T00:00:00"/>
    <n v="390"/>
    <n v="6000000"/>
    <n v="10000"/>
    <n v="60000"/>
    <n v="100000"/>
    <n v="3900000"/>
    <x v="35"/>
    <x v="0"/>
    <s v="EKY74EF"/>
    <x v="34"/>
    <n v="1000000035"/>
    <n v="3757133"/>
    <n v="54500"/>
    <n v="142867"/>
    <n v="2242867"/>
    <x v="0"/>
    <x v="0"/>
    <n v="0.62618883333333331"/>
    <n v="0.9633674358974359"/>
    <n v="0.90833333333333333"/>
    <n v="14.2867"/>
    <x v="1"/>
    <x v="0"/>
  </r>
  <r>
    <d v="2025-06-16T00:00:00"/>
    <n v="387"/>
    <n v="6000000"/>
    <n v="11000"/>
    <n v="66000"/>
    <n v="100000"/>
    <n v="4257000"/>
    <x v="36"/>
    <x v="0"/>
    <s v="APP80NP"/>
    <x v="35"/>
    <n v="1000000036"/>
    <n v="4562937"/>
    <n v="46000"/>
    <n v="-305937"/>
    <n v="1437063"/>
    <x v="1"/>
    <x v="0"/>
    <n v="0.76048950000000004"/>
    <n v="1.0718668076109936"/>
    <n v="0.69696969696969702"/>
    <n v="-27.812454545454546"/>
    <x v="1"/>
    <x v="1"/>
  </r>
  <r>
    <d v="2025-06-19T00:00:00"/>
    <n v="462"/>
    <n v="6000000"/>
    <n v="10000"/>
    <n v="60000"/>
    <n v="75000"/>
    <n v="4620000"/>
    <x v="37"/>
    <x v="0"/>
    <s v="LAG94AB"/>
    <x v="36"/>
    <n v="1000000037"/>
    <n v="2725337"/>
    <n v="40500"/>
    <n v="1894663"/>
    <n v="3274663"/>
    <x v="0"/>
    <x v="0"/>
    <n v="0.45422283333333335"/>
    <n v="0.58989978354978356"/>
    <n v="0.67500000000000004"/>
    <n v="189.46629999999999"/>
    <x v="0"/>
    <x v="0"/>
  </r>
  <r>
    <d v="2025-03-24T00:00:00"/>
    <n v="382"/>
    <n v="6000000"/>
    <n v="9000"/>
    <n v="54000"/>
    <n v="100000"/>
    <n v="3438000"/>
    <x v="38"/>
    <x v="0"/>
    <s v="LAG13AB"/>
    <x v="37"/>
    <n v="1000000038"/>
    <n v="4496843"/>
    <n v="41000"/>
    <n v="-1058843"/>
    <n v="1503157"/>
    <x v="1"/>
    <x v="0"/>
    <n v="0.74947383333333328"/>
    <n v="1.3079822571262363"/>
    <n v="0.7592592592592593"/>
    <n v="-117.64922222222222"/>
    <x v="1"/>
    <x v="0"/>
  </r>
  <r>
    <d v="2025-06-25T00:00:00"/>
    <n v="389"/>
    <n v="6000000"/>
    <n v="11000"/>
    <n v="66000"/>
    <n v="100000"/>
    <n v="4279000"/>
    <x v="39"/>
    <x v="0"/>
    <s v="APP61CD"/>
    <x v="38"/>
    <n v="1000000039"/>
    <n v="4547059"/>
    <n v="59500"/>
    <n v="-268059"/>
    <n v="1452941"/>
    <x v="1"/>
    <x v="0"/>
    <n v="0.75784316666666662"/>
    <n v="1.0626452442159382"/>
    <n v="0.90151515151515149"/>
    <n v="-24.369"/>
    <x v="1"/>
    <x v="1"/>
  </r>
  <r>
    <d v="2025-06-17T00:00:00"/>
    <n v="384"/>
    <n v="6000000"/>
    <n v="9000"/>
    <n v="54000"/>
    <n v="50000"/>
    <n v="3456000"/>
    <x v="40"/>
    <x v="0"/>
    <s v="KTU68CD"/>
    <x v="39"/>
    <n v="1000000040"/>
    <n v="3635324"/>
    <n v="58000"/>
    <n v="-179324"/>
    <n v="2364676"/>
    <x v="1"/>
    <x v="0"/>
    <n v="0.60588733333333333"/>
    <n v="1.0518877314814814"/>
    <n v="1.0740740740740742"/>
    <n v="-19.924888888888891"/>
    <x v="1"/>
    <x v="0"/>
  </r>
  <r>
    <d v="2025-06-22T00:00:00"/>
    <n v="344"/>
    <n v="6000000"/>
    <n v="11000"/>
    <n v="66000"/>
    <n v="100000"/>
    <n v="3784000"/>
    <x v="41"/>
    <x v="0"/>
    <s v="APP43NP"/>
    <x v="29"/>
    <n v="1000000041"/>
    <n v="5395656"/>
    <n v="69500"/>
    <n v="-1611656"/>
    <n v="604344"/>
    <x v="1"/>
    <x v="0"/>
    <n v="0.89927599999999996"/>
    <n v="1.4259133192389006"/>
    <n v="1.053030303030303"/>
    <n v="-146.51418181818181"/>
    <x v="1"/>
    <x v="1"/>
  </r>
  <r>
    <d v="2025-08-08T00:00:00"/>
    <n v="449"/>
    <n v="6000000"/>
    <n v="9000"/>
    <n v="54000"/>
    <n v="75000"/>
    <n v="4041000"/>
    <x v="42"/>
    <x v="0"/>
    <s v="LAG44EF"/>
    <x v="40"/>
    <n v="1000000042"/>
    <n v="2962730"/>
    <n v="42500"/>
    <n v="1078270"/>
    <n v="3037270"/>
    <x v="0"/>
    <x v="0"/>
    <n v="0.49378833333333333"/>
    <n v="0.73316753278891367"/>
    <n v="0.78703703703703709"/>
    <n v="119.80777777777777"/>
    <x v="2"/>
    <x v="1"/>
  </r>
  <r>
    <d v="2025-04-08T00:00:00"/>
    <n v="437"/>
    <n v="6000000"/>
    <n v="9000"/>
    <n v="54000"/>
    <n v="75000"/>
    <n v="3933000"/>
    <x v="43"/>
    <x v="1"/>
    <s v="APP62EF"/>
    <x v="41"/>
    <n v="1000000043"/>
    <n v="4838227"/>
    <n v="0"/>
    <n v="-905227"/>
    <n v="1161773"/>
    <x v="1"/>
    <x v="0"/>
    <n v="0.80637116666666664"/>
    <n v="1.2301619628782101"/>
    <n v="0"/>
    <n v="-100.58077777777778"/>
    <x v="1"/>
    <x v="0"/>
  </r>
  <r>
    <d v="2025-04-22T00:00:00"/>
    <n v="364"/>
    <n v="6000000"/>
    <n v="11000"/>
    <n v="66000"/>
    <n v="75000"/>
    <n v="4004000"/>
    <x v="44"/>
    <x v="0"/>
    <s v="MUS58GH"/>
    <x v="42"/>
    <n v="1000000044"/>
    <n v="4785723"/>
    <n v="69000"/>
    <n v="-781723"/>
    <n v="1214277"/>
    <x v="1"/>
    <x v="0"/>
    <n v="0.79762049999999995"/>
    <n v="1.1952355144855145"/>
    <n v="1.0454545454545454"/>
    <n v="-71.065727272727273"/>
    <x v="1"/>
    <x v="0"/>
  </r>
  <r>
    <d v="2025-07-16T00:00:00"/>
    <n v="454"/>
    <n v="6000000"/>
    <n v="9000"/>
    <n v="54000"/>
    <n v="75000"/>
    <n v="4086000"/>
    <x v="45"/>
    <x v="0"/>
    <s v="KTU59EF"/>
    <x v="43"/>
    <n v="1000000045"/>
    <n v="3546788"/>
    <n v="36500"/>
    <n v="539212"/>
    <n v="2453212"/>
    <x v="0"/>
    <x v="0"/>
    <n v="0.59113133333333334"/>
    <n v="0.86803426333822808"/>
    <n v="0.67592592592592593"/>
    <n v="59.912444444444446"/>
    <x v="2"/>
    <x v="1"/>
  </r>
  <r>
    <d v="2025-04-02T00:00:00"/>
    <n v="425"/>
    <n v="6000000"/>
    <n v="10000"/>
    <n v="60000"/>
    <n v="75000"/>
    <n v="4250000"/>
    <x v="46"/>
    <x v="0"/>
    <s v="KTU92GH"/>
    <x v="44"/>
    <n v="1000000046"/>
    <n v="3530223"/>
    <n v="45500"/>
    <n v="719777"/>
    <n v="2469777"/>
    <x v="0"/>
    <x v="0"/>
    <n v="0.58837050000000002"/>
    <n v="0.83064070588235295"/>
    <n v="0.7583333333333333"/>
    <n v="71.977699999999999"/>
    <x v="2"/>
    <x v="0"/>
  </r>
  <r>
    <d v="2025-05-06T00:00:00"/>
    <n v="378"/>
    <n v="6000000"/>
    <n v="11000"/>
    <n v="66000"/>
    <n v="75000"/>
    <n v="4158000"/>
    <x v="47"/>
    <x v="1"/>
    <s v="APP45NP"/>
    <x v="45"/>
    <n v="1000000047"/>
    <n v="4743594"/>
    <n v="0"/>
    <n v="-585594"/>
    <n v="1256406"/>
    <x v="1"/>
    <x v="0"/>
    <n v="0.79059900000000005"/>
    <n v="1.1408354978354978"/>
    <n v="0"/>
    <n v="-53.235818181818182"/>
    <x v="1"/>
    <x v="1"/>
  </r>
  <r>
    <d v="2025-06-29T00:00:00"/>
    <n v="438"/>
    <n v="6000000"/>
    <n v="10000"/>
    <n v="60000"/>
    <n v="100000"/>
    <n v="4380000"/>
    <x v="48"/>
    <x v="0"/>
    <s v="LAG93AB"/>
    <x v="46"/>
    <n v="1000000048"/>
    <n v="3363481"/>
    <n v="54500"/>
    <n v="1016519"/>
    <n v="2636519"/>
    <x v="0"/>
    <x v="0"/>
    <n v="0.56058016666666666"/>
    <n v="0.76791803652968038"/>
    <n v="0.90833333333333333"/>
    <n v="101.6519"/>
    <x v="2"/>
    <x v="0"/>
  </r>
  <r>
    <d v="2025-04-21T00:00:00"/>
    <n v="445"/>
    <n v="6000000"/>
    <n v="10000"/>
    <n v="60000"/>
    <n v="100000"/>
    <n v="4450000"/>
    <x v="49"/>
    <x v="0"/>
    <s v="KTU82CD"/>
    <x v="47"/>
    <n v="1000000049"/>
    <n v="3748738"/>
    <n v="29000"/>
    <n v="701262"/>
    <n v="2251262"/>
    <x v="0"/>
    <x v="0"/>
    <n v="0.62478966666666669"/>
    <n v="0.84241303370786513"/>
    <n v="0.48333333333333334"/>
    <n v="70.126199999999997"/>
    <x v="2"/>
    <x v="0"/>
  </r>
  <r>
    <d v="2025-04-12T00:00:00"/>
    <n v="330"/>
    <n v="6000000"/>
    <n v="10000"/>
    <n v="60000"/>
    <n v="50000"/>
    <n v="3300000"/>
    <x v="50"/>
    <x v="1"/>
    <s v="MUS96GH"/>
    <x v="48"/>
    <n v="1000000050"/>
    <n v="2542512"/>
    <n v="0"/>
    <n v="757488"/>
    <n v="3457488"/>
    <x v="0"/>
    <x v="1"/>
    <n v="0.42375200000000002"/>
    <n v="0.77045818181818182"/>
    <n v="0"/>
    <n v="75.748800000000003"/>
    <x v="2"/>
    <x v="1"/>
  </r>
  <r>
    <d v="2025-08-24T00:00:00"/>
    <n v="467"/>
    <n v="6000000"/>
    <n v="9000"/>
    <n v="54000"/>
    <n v="50000"/>
    <n v="4203000"/>
    <x v="51"/>
    <x v="0"/>
    <s v="MUS15EF"/>
    <x v="1"/>
    <n v="1000000051"/>
    <n v="2713532"/>
    <n v="32500"/>
    <n v="1489468"/>
    <n v="3286468"/>
    <x v="0"/>
    <x v="1"/>
    <n v="0.45225533333333334"/>
    <n v="0.64561789198191766"/>
    <n v="0.60185185185185186"/>
    <n v="165.49644444444445"/>
    <x v="0"/>
    <x v="1"/>
  </r>
  <r>
    <d v="2025-03-18T00:00:00"/>
    <n v="367"/>
    <n v="6000000"/>
    <n v="10000"/>
    <n v="60000"/>
    <n v="50000"/>
    <n v="3670000"/>
    <x v="52"/>
    <x v="0"/>
    <s v="APP56LM"/>
    <x v="49"/>
    <n v="1000000052"/>
    <n v="4421074"/>
    <n v="51000"/>
    <n v="-751074"/>
    <n v="1578926"/>
    <x v="1"/>
    <x v="1"/>
    <n v="0.73684566666666662"/>
    <n v="1.2046523160762943"/>
    <n v="0.85"/>
    <n v="-75.107399999999998"/>
    <x v="1"/>
    <x v="0"/>
  </r>
  <r>
    <d v="2025-07-12T00:00:00"/>
    <n v="383"/>
    <n v="6000000"/>
    <n v="10000"/>
    <n v="60000"/>
    <n v="100000"/>
    <n v="3830000"/>
    <x v="53"/>
    <x v="0"/>
    <s v="APP85EF"/>
    <x v="50"/>
    <n v="1000000053"/>
    <n v="4875442"/>
    <n v="70000"/>
    <n v="-1045442"/>
    <n v="1124558"/>
    <x v="1"/>
    <x v="1"/>
    <n v="0.81257366666666664"/>
    <n v="1.27296135770235"/>
    <n v="1.1666666666666667"/>
    <n v="-104.5442"/>
    <x v="1"/>
    <x v="0"/>
  </r>
  <r>
    <d v="2025-06-24T00:00:00"/>
    <n v="404"/>
    <n v="6000000"/>
    <n v="9000"/>
    <n v="54000"/>
    <n v="75000"/>
    <n v="3636000"/>
    <x v="54"/>
    <x v="0"/>
    <s v="EKY13GH"/>
    <x v="51"/>
    <n v="1000000054"/>
    <n v="3529238"/>
    <n v="55000"/>
    <n v="106762"/>
    <n v="2470762"/>
    <x v="0"/>
    <x v="1"/>
    <n v="0.58820633333333339"/>
    <n v="0.97063751375137519"/>
    <n v="1.0185185185185186"/>
    <n v="11.862444444444444"/>
    <x v="1"/>
    <x v="1"/>
  </r>
  <r>
    <d v="2025-05-30T00:00:00"/>
    <n v="360"/>
    <n v="6000000"/>
    <n v="10000"/>
    <n v="60000"/>
    <n v="75000"/>
    <n v="3600000"/>
    <x v="55"/>
    <x v="1"/>
    <s v="MUS11JK"/>
    <x v="52"/>
    <n v="1000000055"/>
    <n v="2505084"/>
    <n v="0"/>
    <n v="1094916"/>
    <n v="3494916"/>
    <x v="0"/>
    <x v="1"/>
    <n v="0.417514"/>
    <n v="0.69585666666666668"/>
    <n v="0"/>
    <n v="109.49160000000001"/>
    <x v="0"/>
    <x v="0"/>
  </r>
  <r>
    <d v="2025-07-21T00:00:00"/>
    <n v="336"/>
    <n v="6000000"/>
    <n v="9000"/>
    <n v="54000"/>
    <n v="100000"/>
    <n v="3024000"/>
    <x v="56"/>
    <x v="0"/>
    <s v="APP12AB"/>
    <x v="53"/>
    <n v="1000000056"/>
    <n v="3196333"/>
    <n v="56500"/>
    <n v="-172333"/>
    <n v="2803667"/>
    <x v="1"/>
    <x v="1"/>
    <n v="0.53272216666666672"/>
    <n v="1.0569884259259259"/>
    <n v="1.0462962962962963"/>
    <n v="-19.14811111111111"/>
    <x v="1"/>
    <x v="1"/>
  </r>
  <r>
    <d v="2025-08-17T00:00:00"/>
    <n v="431"/>
    <n v="6000000"/>
    <n v="10000"/>
    <n v="60000"/>
    <n v="75000"/>
    <n v="4310000"/>
    <x v="57"/>
    <x v="0"/>
    <s v="MUS52EF"/>
    <x v="47"/>
    <n v="1000000057"/>
    <n v="3164058"/>
    <n v="58500"/>
    <n v="1145942"/>
    <n v="2835942"/>
    <x v="0"/>
    <x v="1"/>
    <n v="0.52734300000000001"/>
    <n v="0.73412018561484915"/>
    <n v="0.97499999999999998"/>
    <n v="114.5942"/>
    <x v="2"/>
    <x v="0"/>
  </r>
  <r>
    <d v="2025-04-29T00:00:00"/>
    <n v="432"/>
    <n v="6000000"/>
    <n v="10000"/>
    <n v="60000"/>
    <n v="100000"/>
    <n v="4320000"/>
    <x v="58"/>
    <x v="0"/>
    <s v="LAG34CD"/>
    <x v="54"/>
    <n v="1000000058"/>
    <n v="3344460"/>
    <n v="0"/>
    <n v="975540"/>
    <n v="2655540"/>
    <x v="0"/>
    <x v="1"/>
    <n v="0.55740999999999996"/>
    <n v="0.77418055555555554"/>
    <n v="0"/>
    <n v="97.554000000000002"/>
    <x v="2"/>
    <x v="1"/>
  </r>
  <r>
    <d v="2025-04-28T00:00:00"/>
    <n v="342"/>
    <n v="6000000"/>
    <n v="10000"/>
    <n v="60000"/>
    <n v="50000"/>
    <n v="3420000"/>
    <x v="59"/>
    <x v="0"/>
    <s v="LAG45AB"/>
    <x v="55"/>
    <n v="1000000059"/>
    <n v="5134715"/>
    <n v="54000"/>
    <n v="-1714715"/>
    <n v="865285"/>
    <x v="1"/>
    <x v="1"/>
    <n v="0.85578583333333336"/>
    <n v="1.5013786549707602"/>
    <n v="0.9"/>
    <n v="-171.47149999999999"/>
    <x v="1"/>
    <x v="0"/>
  </r>
  <r>
    <d v="2025-08-11T00:00:00"/>
    <n v="456"/>
    <n v="6000000"/>
    <n v="11000"/>
    <n v="66000"/>
    <n v="50000"/>
    <n v="5016000"/>
    <x v="60"/>
    <x v="0"/>
    <s v="APP66EF"/>
    <x v="56"/>
    <n v="1000000060"/>
    <n v="4220989"/>
    <n v="0"/>
    <n v="795011"/>
    <n v="1779011"/>
    <x v="0"/>
    <x v="1"/>
    <n v="0.70349816666666665"/>
    <n v="0.84150498405103669"/>
    <n v="0"/>
    <n v="72.273727272727271"/>
    <x v="2"/>
    <x v="0"/>
  </r>
  <r>
    <d v="2025-03-30T00:00:00"/>
    <n v="360"/>
    <n v="6000000"/>
    <n v="10000"/>
    <n v="60000"/>
    <n v="75000"/>
    <n v="3600000"/>
    <x v="61"/>
    <x v="0"/>
    <s v="LAG29NP"/>
    <x v="57"/>
    <n v="1000000061"/>
    <n v="4521771"/>
    <n v="45500"/>
    <n v="-921771"/>
    <n v="1478229"/>
    <x v="1"/>
    <x v="1"/>
    <n v="0.75362850000000003"/>
    <n v="1.2560475"/>
    <n v="0.7583333333333333"/>
    <n v="-92.177099999999996"/>
    <x v="1"/>
    <x v="1"/>
  </r>
  <r>
    <d v="2025-07-21T00:00:00"/>
    <n v="414"/>
    <n v="6000000"/>
    <n v="11000"/>
    <n v="66000"/>
    <n v="100000"/>
    <n v="4554000"/>
    <x v="62"/>
    <x v="0"/>
    <s v="MUS58GH"/>
    <x v="58"/>
    <n v="1000000062"/>
    <n v="4294059"/>
    <n v="77000"/>
    <n v="259941"/>
    <n v="1705941"/>
    <x v="0"/>
    <x v="1"/>
    <n v="0.71567650000000005"/>
    <n v="0.94292028985507248"/>
    <n v="1.1666666666666667"/>
    <n v="23.631"/>
    <x v="1"/>
    <x v="0"/>
  </r>
  <r>
    <d v="2025-05-18T00:00:00"/>
    <n v="481"/>
    <n v="6000000"/>
    <n v="10000"/>
    <n v="60000"/>
    <n v="100000"/>
    <n v="4810000"/>
    <x v="63"/>
    <x v="2"/>
    <s v="EKY94AB"/>
    <x v="59"/>
    <n v="1000000063"/>
    <n v="2627918"/>
    <n v="0"/>
    <n v="2182082"/>
    <n v="3372082"/>
    <x v="0"/>
    <x v="1"/>
    <n v="0.43798633333333331"/>
    <n v="0.54634469854469858"/>
    <n v="0"/>
    <n v="218.20820000000001"/>
    <x v="0"/>
    <x v="1"/>
  </r>
  <r>
    <d v="2025-03-01T00:00:00"/>
    <n v="431"/>
    <n v="6000000"/>
    <n v="11000"/>
    <n v="66000"/>
    <n v="75000"/>
    <n v="4741000"/>
    <x v="64"/>
    <x v="0"/>
    <s v="LAG46LM"/>
    <x v="22"/>
    <n v="1000000064"/>
    <n v="5272616"/>
    <n v="63000"/>
    <n v="-531616"/>
    <n v="727384"/>
    <x v="1"/>
    <x v="1"/>
    <n v="0.87876933333333329"/>
    <n v="1.1121316178021514"/>
    <n v="0.95454545454545459"/>
    <n v="-48.328727272727271"/>
    <x v="1"/>
    <x v="0"/>
  </r>
  <r>
    <d v="2025-04-29T00:00:00"/>
    <n v="466"/>
    <n v="6000000"/>
    <n v="10000"/>
    <n v="60000"/>
    <n v="100000"/>
    <n v="4660000"/>
    <x v="65"/>
    <x v="0"/>
    <s v="KTU79CD"/>
    <x v="7"/>
    <n v="1000000065"/>
    <n v="2965388"/>
    <n v="42000"/>
    <n v="1694612"/>
    <n v="3034612"/>
    <x v="0"/>
    <x v="1"/>
    <n v="0.49423133333333336"/>
    <n v="0.63634935622317601"/>
    <n v="0.7"/>
    <n v="169.46119999999999"/>
    <x v="0"/>
    <x v="0"/>
  </r>
  <r>
    <d v="2025-03-19T00:00:00"/>
    <n v="372"/>
    <n v="6000000"/>
    <n v="10000"/>
    <n v="60000"/>
    <n v="50000"/>
    <n v="3720000"/>
    <x v="66"/>
    <x v="0"/>
    <s v="APP25GH"/>
    <x v="60"/>
    <n v="1000000066"/>
    <n v="2905256"/>
    <n v="28500"/>
    <n v="814744"/>
    <n v="3094744"/>
    <x v="0"/>
    <x v="1"/>
    <n v="0.48420933333333332"/>
    <n v="0.7809827956989247"/>
    <n v="0.47499999999999998"/>
    <n v="81.474400000000003"/>
    <x v="2"/>
    <x v="1"/>
  </r>
  <r>
    <d v="2025-07-07T00:00:00"/>
    <n v="334"/>
    <n v="6000000"/>
    <n v="11000"/>
    <n v="66000"/>
    <n v="75000"/>
    <n v="3674000"/>
    <x v="67"/>
    <x v="1"/>
    <s v="MUS42AB"/>
    <x v="61"/>
    <n v="1000000067"/>
    <n v="3292623"/>
    <n v="0"/>
    <n v="381377"/>
    <n v="2707377"/>
    <x v="0"/>
    <x v="1"/>
    <n v="0.54877050000000005"/>
    <n v="0.89619569951007072"/>
    <n v="0"/>
    <n v="34.670636363636362"/>
    <x v="2"/>
    <x v="1"/>
  </r>
  <r>
    <d v="2025-08-20T00:00:00"/>
    <n v="342"/>
    <n v="6000000"/>
    <n v="10000"/>
    <n v="60000"/>
    <n v="100000"/>
    <n v="3420000"/>
    <x v="68"/>
    <x v="1"/>
    <s v="APP76LM"/>
    <x v="47"/>
    <n v="1000000068"/>
    <n v="2772956"/>
    <n v="0"/>
    <n v="647044"/>
    <n v="3227044"/>
    <x v="0"/>
    <x v="1"/>
    <n v="0.46215933333333331"/>
    <n v="0.81080584795321642"/>
    <n v="0"/>
    <n v="64.704400000000007"/>
    <x v="2"/>
    <x v="0"/>
  </r>
  <r>
    <d v="2025-08-10T00:00:00"/>
    <n v="336"/>
    <n v="6000000"/>
    <n v="11000"/>
    <n v="66000"/>
    <n v="50000"/>
    <n v="3696000"/>
    <x v="69"/>
    <x v="0"/>
    <s v="EKY95AB"/>
    <x v="62"/>
    <n v="1000000069"/>
    <n v="4247372"/>
    <n v="57500"/>
    <n v="-551372"/>
    <n v="1752628"/>
    <x v="1"/>
    <x v="1"/>
    <n v="0.70789533333333332"/>
    <n v="1.149180735930736"/>
    <n v="0.87121212121212122"/>
    <n v="-50.12472727272727"/>
    <x v="1"/>
    <x v="0"/>
  </r>
  <r>
    <d v="2025-08-17T00:00:00"/>
    <n v="363"/>
    <n v="6000000"/>
    <n v="11000"/>
    <n v="66000"/>
    <n v="100000"/>
    <n v="3993000"/>
    <x v="70"/>
    <x v="0"/>
    <s v="EKY51AB"/>
    <x v="63"/>
    <n v="1000000070"/>
    <n v="3769368"/>
    <n v="32500"/>
    <n v="223632"/>
    <n v="2230632"/>
    <x v="0"/>
    <x v="1"/>
    <n v="0.62822800000000001"/>
    <n v="0.94399398948159274"/>
    <n v="0.49242424242424243"/>
    <n v="20.330181818181817"/>
    <x v="1"/>
    <x v="1"/>
  </r>
  <r>
    <d v="2025-07-17T00:00:00"/>
    <n v="329"/>
    <n v="6000000"/>
    <n v="11000"/>
    <n v="66000"/>
    <n v="75000"/>
    <n v="3619000"/>
    <x v="71"/>
    <x v="1"/>
    <s v="APP16CD"/>
    <x v="64"/>
    <n v="1000000071"/>
    <n v="2705370"/>
    <n v="0"/>
    <n v="913630"/>
    <n v="3294630"/>
    <x v="0"/>
    <x v="1"/>
    <n v="0.45089499999999999"/>
    <n v="0.74754628350373031"/>
    <n v="0"/>
    <n v="83.057272727272732"/>
    <x v="2"/>
    <x v="0"/>
  </r>
  <r>
    <d v="2025-08-26T00:00:00"/>
    <n v="432"/>
    <n v="6000000"/>
    <n v="11000"/>
    <n v="66000"/>
    <n v="50000"/>
    <n v="4752000"/>
    <x v="72"/>
    <x v="0"/>
    <s v="LAG49JK"/>
    <x v="65"/>
    <n v="1000000072"/>
    <n v="3704404"/>
    <n v="31000"/>
    <n v="1047596"/>
    <n v="2295596"/>
    <x v="0"/>
    <x v="1"/>
    <n v="0.61740066666666671"/>
    <n v="0.77954629629629635"/>
    <n v="0.46969696969696972"/>
    <n v="95.236000000000004"/>
    <x v="2"/>
    <x v="1"/>
  </r>
  <r>
    <d v="2025-04-27T00:00:00"/>
    <n v="360"/>
    <n v="6000000"/>
    <n v="10000"/>
    <n v="60000"/>
    <n v="75000"/>
    <n v="3600000"/>
    <x v="73"/>
    <x v="1"/>
    <s v="MUS44GH"/>
    <x v="66"/>
    <n v="1000000073"/>
    <n v="2583761"/>
    <n v="13000"/>
    <n v="1016239"/>
    <n v="3416239"/>
    <x v="0"/>
    <x v="1"/>
    <n v="0.43062683333333335"/>
    <n v="0.71771138888888886"/>
    <n v="0.21666666666666667"/>
    <n v="101.62390000000001"/>
    <x v="2"/>
    <x v="0"/>
  </r>
  <r>
    <d v="2025-07-20T00:00:00"/>
    <n v="481"/>
    <n v="6000000"/>
    <n v="9000"/>
    <n v="54000"/>
    <n v="75000"/>
    <n v="4329000"/>
    <x v="74"/>
    <x v="0"/>
    <s v="LAG18EF"/>
    <x v="34"/>
    <n v="1000000074"/>
    <n v="3482558"/>
    <n v="34000"/>
    <n v="846442"/>
    <n v="2517442"/>
    <x v="0"/>
    <x v="1"/>
    <n v="0.58042633333333338"/>
    <n v="0.80447170247170252"/>
    <n v="0.62962962962962965"/>
    <n v="94.049111111111117"/>
    <x v="2"/>
    <x v="1"/>
  </r>
  <r>
    <d v="2025-03-01T00:00:00"/>
    <n v="411"/>
    <n v="6000000"/>
    <n v="10000"/>
    <n v="60000"/>
    <n v="100000"/>
    <n v="4110000"/>
    <x v="75"/>
    <x v="0"/>
    <s v="LAG67JK"/>
    <x v="67"/>
    <n v="1000000075"/>
    <n v="4928441"/>
    <n v="45500"/>
    <n v="-818441"/>
    <n v="1071559"/>
    <x v="1"/>
    <x v="1"/>
    <n v="0.82140683333333331"/>
    <n v="1.1991340632603407"/>
    <n v="0.7583333333333333"/>
    <n v="-81.844099999999997"/>
    <x v="1"/>
    <x v="0"/>
  </r>
  <r>
    <d v="2025-05-22T00:00:00"/>
    <n v="373"/>
    <n v="6000000"/>
    <n v="9000"/>
    <n v="54000"/>
    <n v="100000"/>
    <n v="3357000"/>
    <x v="76"/>
    <x v="0"/>
    <s v="APP15EF"/>
    <x v="68"/>
    <n v="1000000076"/>
    <n v="3145605"/>
    <n v="27000"/>
    <n v="211395"/>
    <n v="2854395"/>
    <x v="0"/>
    <x v="1"/>
    <n v="0.5242675"/>
    <n v="0.93702859696157281"/>
    <n v="0.5"/>
    <n v="23.488333333333333"/>
    <x v="1"/>
    <x v="0"/>
  </r>
  <r>
    <d v="2025-07-05T00:00:00"/>
    <n v="450"/>
    <n v="6000000"/>
    <n v="10000"/>
    <n v="60000"/>
    <n v="50000"/>
    <n v="4500000"/>
    <x v="77"/>
    <x v="0"/>
    <s v="KTU66AB"/>
    <x v="69"/>
    <n v="1000000077"/>
    <n v="3079287"/>
    <n v="46500"/>
    <n v="1420713"/>
    <n v="2920713"/>
    <x v="0"/>
    <x v="1"/>
    <n v="0.51321450000000002"/>
    <n v="0.68428599999999995"/>
    <n v="0.77500000000000002"/>
    <n v="142.07130000000001"/>
    <x v="0"/>
    <x v="1"/>
  </r>
  <r>
    <d v="2025-04-06T00:00:00"/>
    <n v="334"/>
    <n v="6000000"/>
    <n v="11000"/>
    <n v="66000"/>
    <n v="100000"/>
    <n v="3674000"/>
    <x v="78"/>
    <x v="0"/>
    <s v="EKY89LM"/>
    <x v="3"/>
    <n v="1000000078"/>
    <n v="2890000"/>
    <n v="52000"/>
    <n v="784000"/>
    <n v="3110000"/>
    <x v="0"/>
    <x v="1"/>
    <n v="0.48166666666666669"/>
    <n v="0.78660860097985852"/>
    <n v="0.78787878787878785"/>
    <n v="71.272727272727266"/>
    <x v="2"/>
    <x v="0"/>
  </r>
  <r>
    <d v="2025-08-20T00:00:00"/>
    <n v="386"/>
    <n v="6000000"/>
    <n v="11000"/>
    <n v="66000"/>
    <n v="75000"/>
    <n v="4246000"/>
    <x v="79"/>
    <x v="2"/>
    <s v="LAG90LM"/>
    <x v="53"/>
    <n v="1000000079"/>
    <n v="2771602"/>
    <n v="46500"/>
    <n v="1474398"/>
    <n v="3228398"/>
    <x v="0"/>
    <x v="1"/>
    <n v="0.46193366666666669"/>
    <n v="0.65275600565237868"/>
    <n v="0.70454545454545459"/>
    <n v="134.03618181818183"/>
    <x v="0"/>
    <x v="1"/>
  </r>
  <r>
    <d v="2025-06-20T00:00:00"/>
    <n v="387"/>
    <n v="6000000"/>
    <n v="10000"/>
    <n v="60000"/>
    <n v="100000"/>
    <n v="3870000"/>
    <x v="80"/>
    <x v="0"/>
    <s v="KTU51NP"/>
    <x v="70"/>
    <n v="1000000080"/>
    <n v="2457110"/>
    <n v="18000"/>
    <n v="1412890"/>
    <n v="3542890"/>
    <x v="0"/>
    <x v="1"/>
    <n v="0.40951833333333332"/>
    <n v="0.63491214470284241"/>
    <n v="0.3"/>
    <n v="141.28899999999999"/>
    <x v="0"/>
    <x v="1"/>
  </r>
  <r>
    <d v="2025-06-19T00:00:00"/>
    <n v="354"/>
    <n v="6000000"/>
    <n v="9000"/>
    <n v="54000"/>
    <n v="50000"/>
    <n v="3186000"/>
    <x v="81"/>
    <x v="0"/>
    <s v="LAG32AB"/>
    <x v="71"/>
    <n v="1000000081"/>
    <n v="4152769"/>
    <n v="60500"/>
    <n v="-966769"/>
    <n v="1847231"/>
    <x v="1"/>
    <x v="1"/>
    <n v="0.69212816666666666"/>
    <n v="1.3034428750784683"/>
    <n v="1.1203703703703705"/>
    <n v="-107.41877777777778"/>
    <x v="1"/>
    <x v="0"/>
  </r>
  <r>
    <d v="2025-07-28T00:00:00"/>
    <n v="384"/>
    <n v="6000000"/>
    <n v="9000"/>
    <n v="54000"/>
    <n v="50000"/>
    <n v="3456000"/>
    <x v="82"/>
    <x v="0"/>
    <s v="EKY95AB"/>
    <x v="58"/>
    <n v="1000000082"/>
    <n v="3677324"/>
    <n v="55500"/>
    <n v="-221324"/>
    <n v="2322676"/>
    <x v="1"/>
    <x v="1"/>
    <n v="0.61288733333333334"/>
    <n v="1.0640405092592593"/>
    <n v="1.0277777777777777"/>
    <n v="-24.591555555555555"/>
    <x v="1"/>
    <x v="0"/>
  </r>
  <r>
    <d v="2025-06-22T00:00:00"/>
    <n v="376"/>
    <n v="6000000"/>
    <n v="10000"/>
    <n v="60000"/>
    <n v="100000"/>
    <n v="3760000"/>
    <x v="83"/>
    <x v="0"/>
    <s v="EKY68NP"/>
    <x v="72"/>
    <n v="1000000083"/>
    <n v="4342737"/>
    <n v="56000"/>
    <n v="-582737"/>
    <n v="1657263"/>
    <x v="1"/>
    <x v="1"/>
    <n v="0.72378949999999997"/>
    <n v="1.154983244680851"/>
    <n v="0.93333333333333335"/>
    <n v="-58.273699999999998"/>
    <x v="1"/>
    <x v="1"/>
  </r>
  <r>
    <d v="2025-07-02T00:00:00"/>
    <n v="331"/>
    <n v="6000000"/>
    <n v="10000"/>
    <n v="60000"/>
    <n v="50000"/>
    <n v="3310000"/>
    <x v="84"/>
    <x v="0"/>
    <s v="EKY12NP"/>
    <x v="73"/>
    <n v="1000000084"/>
    <n v="2799379"/>
    <n v="35500"/>
    <n v="510621"/>
    <n v="3200621"/>
    <x v="0"/>
    <x v="1"/>
    <n v="0.46656316666666664"/>
    <n v="0.84573383685800607"/>
    <n v="0.59166666666666667"/>
    <n v="51.062100000000001"/>
    <x v="2"/>
    <x v="0"/>
  </r>
  <r>
    <d v="2025-08-23T00:00:00"/>
    <n v="385"/>
    <n v="6000000"/>
    <n v="10000"/>
    <n v="60000"/>
    <n v="100000"/>
    <n v="3850000"/>
    <x v="85"/>
    <x v="2"/>
    <s v="MUS55CD"/>
    <x v="74"/>
    <n v="1000000085"/>
    <n v="2148847"/>
    <n v="30500"/>
    <n v="1701153"/>
    <n v="3851153"/>
    <x v="0"/>
    <x v="1"/>
    <n v="0.35814116666666668"/>
    <n v="0.55814207792207793"/>
    <n v="0.5083333333333333"/>
    <n v="170.11529999999999"/>
    <x v="0"/>
    <x v="1"/>
  </r>
  <r>
    <d v="2025-06-21T00:00:00"/>
    <n v="363"/>
    <n v="6000000"/>
    <n v="10000"/>
    <n v="60000"/>
    <n v="100000"/>
    <n v="3630000"/>
    <x v="86"/>
    <x v="0"/>
    <s v="EKY51LM"/>
    <x v="75"/>
    <n v="1000000086"/>
    <n v="2966346"/>
    <n v="34000"/>
    <n v="663654"/>
    <n v="3033654"/>
    <x v="0"/>
    <x v="1"/>
    <n v="0.49439100000000002"/>
    <n v="0.81717520661157028"/>
    <n v="0.56666666666666665"/>
    <n v="66.365399999999994"/>
    <x v="2"/>
    <x v="0"/>
  </r>
  <r>
    <d v="2025-07-17T00:00:00"/>
    <n v="379"/>
    <n v="6000000"/>
    <n v="10000"/>
    <n v="60000"/>
    <n v="100000"/>
    <n v="3790000"/>
    <x v="87"/>
    <x v="0"/>
    <s v="EKY71NP"/>
    <x v="76"/>
    <n v="1000000087"/>
    <n v="3731621"/>
    <n v="66500"/>
    <n v="58379"/>
    <n v="2268379"/>
    <x v="0"/>
    <x v="1"/>
    <n v="0.62193683333333338"/>
    <n v="0.98459656992084432"/>
    <n v="1.1083333333333334"/>
    <n v="5.8379000000000003"/>
    <x v="1"/>
    <x v="1"/>
  </r>
  <r>
    <d v="2025-06-28T00:00:00"/>
    <n v="401"/>
    <n v="6000000"/>
    <n v="10000"/>
    <n v="60000"/>
    <n v="50000"/>
    <n v="4010000"/>
    <x v="88"/>
    <x v="0"/>
    <s v="MUS56AB"/>
    <x v="77"/>
    <n v="1000000088"/>
    <n v="2970859"/>
    <n v="30500"/>
    <n v="1039141"/>
    <n v="3029141"/>
    <x v="0"/>
    <x v="1"/>
    <n v="0.49514316666666669"/>
    <n v="0.74086259351620942"/>
    <n v="0.5083333333333333"/>
    <n v="103.9141"/>
    <x v="2"/>
    <x v="0"/>
  </r>
  <r>
    <d v="2025-06-03T00:00:00"/>
    <n v="340"/>
    <n v="6000000"/>
    <n v="10000"/>
    <n v="60000"/>
    <n v="100000"/>
    <n v="3400000"/>
    <x v="89"/>
    <x v="0"/>
    <s v="KTU96CD"/>
    <x v="78"/>
    <n v="1000000089"/>
    <n v="3717071"/>
    <n v="61000"/>
    <n v="-317071"/>
    <n v="2282929"/>
    <x v="1"/>
    <x v="1"/>
    <n v="0.61951183333333337"/>
    <n v="1.0932561764705881"/>
    <n v="1.0166666666666666"/>
    <n v="-31.707100000000001"/>
    <x v="1"/>
    <x v="0"/>
  </r>
  <r>
    <d v="2025-08-13T00:00:00"/>
    <n v="461"/>
    <n v="6000000"/>
    <n v="10000"/>
    <n v="60000"/>
    <n v="100000"/>
    <n v="4610000"/>
    <x v="90"/>
    <x v="0"/>
    <s v="APP24CD"/>
    <x v="79"/>
    <n v="1000000090"/>
    <n v="2970737"/>
    <n v="42000"/>
    <n v="1639263"/>
    <n v="3029263"/>
    <x v="0"/>
    <x v="1"/>
    <n v="0.49512283333333335"/>
    <n v="0.6444114967462039"/>
    <n v="0.7"/>
    <n v="163.9263"/>
    <x v="0"/>
    <x v="1"/>
  </r>
  <r>
    <d v="2025-03-25T00:00:00"/>
    <n v="420"/>
    <n v="6000000"/>
    <n v="9000"/>
    <n v="54000"/>
    <n v="100000"/>
    <n v="3780000"/>
    <x v="91"/>
    <x v="0"/>
    <s v="MUS29GH"/>
    <x v="80"/>
    <n v="1000000091"/>
    <n v="3225602"/>
    <n v="0"/>
    <n v="554398"/>
    <n v="2774398"/>
    <x v="0"/>
    <x v="1"/>
    <n v="0.53760033333333335"/>
    <n v="0.85333386243386244"/>
    <n v="0"/>
    <n v="61.599777777777781"/>
    <x v="2"/>
    <x v="1"/>
  </r>
  <r>
    <d v="2025-05-11T00:00:00"/>
    <n v="468"/>
    <n v="6000000"/>
    <n v="10000"/>
    <n v="60000"/>
    <n v="100000"/>
    <n v="4680000"/>
    <x v="92"/>
    <x v="0"/>
    <s v="LAG56AB"/>
    <x v="81"/>
    <n v="1000000092"/>
    <n v="3146210"/>
    <n v="34500"/>
    <n v="1533790"/>
    <n v="2853790"/>
    <x v="0"/>
    <x v="1"/>
    <n v="0.52436833333333333"/>
    <n v="0.67226709401709406"/>
    <n v="0.57499999999999996"/>
    <n v="153.37899999999999"/>
    <x v="0"/>
    <x v="0"/>
  </r>
  <r>
    <d v="2025-03-16T00:00:00"/>
    <n v="454"/>
    <n v="6000000"/>
    <n v="11000"/>
    <n v="66000"/>
    <n v="75000"/>
    <n v="4994000"/>
    <x v="93"/>
    <x v="0"/>
    <s v="KTU94CD"/>
    <x v="82"/>
    <n v="1000000093"/>
    <n v="5489729"/>
    <n v="40000"/>
    <n v="-495729"/>
    <n v="510271"/>
    <x v="1"/>
    <x v="1"/>
    <n v="0.91495483333333338"/>
    <n v="1.0992649179014817"/>
    <n v="0.60606060606060608"/>
    <n v="-45.066272727272725"/>
    <x v="1"/>
    <x v="0"/>
  </r>
  <r>
    <d v="2025-04-02T00:00:00"/>
    <n v="450"/>
    <n v="6000000"/>
    <n v="9000"/>
    <n v="54000"/>
    <n v="50000"/>
    <n v="4050000"/>
    <x v="94"/>
    <x v="0"/>
    <s v="LAG52NP"/>
    <x v="83"/>
    <n v="1000000094"/>
    <n v="3347845"/>
    <n v="36500"/>
    <n v="702155"/>
    <n v="2652155"/>
    <x v="0"/>
    <x v="1"/>
    <n v="0.55797416666666666"/>
    <n v="0.82662839506172836"/>
    <n v="0.67592592592592593"/>
    <n v="78.017222222222216"/>
    <x v="2"/>
    <x v="1"/>
  </r>
  <r>
    <d v="2025-04-07T00:00:00"/>
    <n v="478"/>
    <n v="6000000"/>
    <n v="9000"/>
    <n v="54000"/>
    <n v="100000"/>
    <n v="4302000"/>
    <x v="95"/>
    <x v="0"/>
    <s v="KTU26AB"/>
    <x v="84"/>
    <n v="1000000095"/>
    <n v="3617600"/>
    <n v="37500"/>
    <n v="684400"/>
    <n v="2382400"/>
    <x v="0"/>
    <x v="1"/>
    <n v="0.60293333333333332"/>
    <n v="0.84091120409112041"/>
    <n v="0.69444444444444442"/>
    <n v="76.044444444444451"/>
    <x v="2"/>
    <x v="0"/>
  </r>
  <r>
    <d v="2025-03-05T00:00:00"/>
    <n v="383"/>
    <n v="6000000"/>
    <n v="9000"/>
    <n v="54000"/>
    <n v="75000"/>
    <n v="3447000"/>
    <x v="96"/>
    <x v="1"/>
    <s v="MUS24LM"/>
    <x v="85"/>
    <n v="1000000096"/>
    <n v="4374772"/>
    <n v="0"/>
    <n v="-927772"/>
    <n v="1625228"/>
    <x v="1"/>
    <x v="1"/>
    <n v="0.72912866666666665"/>
    <n v="1.2691534667827096"/>
    <n v="0"/>
    <n v="-103.08577777777778"/>
    <x v="1"/>
    <x v="1"/>
  </r>
  <r>
    <d v="2025-06-24T00:00:00"/>
    <n v="394"/>
    <n v="6000000"/>
    <n v="9000"/>
    <n v="54000"/>
    <n v="100000"/>
    <n v="3546000"/>
    <x v="97"/>
    <x v="0"/>
    <s v="EKY68LM"/>
    <x v="86"/>
    <n v="1000000097"/>
    <n v="3475174"/>
    <n v="24500"/>
    <n v="70826"/>
    <n v="2524826"/>
    <x v="0"/>
    <x v="1"/>
    <n v="0.57919566666666666"/>
    <n v="0.98002650874224473"/>
    <n v="0.45370370370370372"/>
    <n v="7.8695555555555554"/>
    <x v="1"/>
    <x v="0"/>
  </r>
  <r>
    <d v="2025-06-11T00:00:00"/>
    <n v="345"/>
    <n v="6000000"/>
    <n v="11000"/>
    <n v="66000"/>
    <n v="100000"/>
    <n v="3795000"/>
    <x v="98"/>
    <x v="0"/>
    <s v="KTU51JK"/>
    <x v="87"/>
    <n v="1000000098"/>
    <n v="3519460"/>
    <n v="23500"/>
    <n v="275540"/>
    <n v="2480540"/>
    <x v="0"/>
    <x v="1"/>
    <n v="0.58657666666666664"/>
    <n v="0.92739393939393944"/>
    <n v="0.35606060606060608"/>
    <n v="25.049090909090911"/>
    <x v="1"/>
    <x v="1"/>
  </r>
  <r>
    <d v="2025-08-07T00:00:00"/>
    <n v="383"/>
    <n v="6000000"/>
    <n v="10000"/>
    <n v="60000"/>
    <n v="75000"/>
    <n v="3830000"/>
    <x v="99"/>
    <x v="0"/>
    <s v="MUS87GH"/>
    <x v="24"/>
    <n v="1000000099"/>
    <n v="3405746"/>
    <n v="53000"/>
    <n v="424254"/>
    <n v="2594254"/>
    <x v="0"/>
    <x v="1"/>
    <n v="0.56762433333333329"/>
    <n v="0.88922872062663183"/>
    <n v="0.8833333333333333"/>
    <n v="42.425400000000003"/>
    <x v="2"/>
    <x v="0"/>
  </r>
  <r>
    <d v="2025-06-24T00:00:00"/>
    <n v="400"/>
    <n v="6000000"/>
    <n v="9000"/>
    <n v="54000"/>
    <n v="75000"/>
    <n v="3600000"/>
    <x v="100"/>
    <x v="0"/>
    <s v="APP22EF"/>
    <x v="34"/>
    <n v="1000000100"/>
    <n v="3725011"/>
    <n v="44000"/>
    <n v="-125011"/>
    <n v="2274989"/>
    <x v="1"/>
    <x v="2"/>
    <n v="0.62083516666666672"/>
    <n v="1.0347252777777778"/>
    <n v="0.81481481481481477"/>
    <n v="-13.890111111111111"/>
    <x v="1"/>
    <x v="1"/>
  </r>
  <r>
    <d v="2025-06-04T00:00:00"/>
    <n v="353"/>
    <n v="6000000"/>
    <n v="9000"/>
    <n v="54000"/>
    <n v="100000"/>
    <n v="3177000"/>
    <x v="101"/>
    <x v="0"/>
    <s v="KTU65AB"/>
    <x v="88"/>
    <n v="1000000101"/>
    <n v="4317359"/>
    <n v="60500"/>
    <n v="-1140359"/>
    <n v="1682641"/>
    <x v="1"/>
    <x v="2"/>
    <n v="0.71955983333333329"/>
    <n v="1.3589420837267863"/>
    <n v="1.1203703703703705"/>
    <n v="-126.70655555555555"/>
    <x v="1"/>
    <x v="0"/>
  </r>
  <r>
    <d v="2025-07-29T00:00:00"/>
    <n v="448"/>
    <n v="6000000"/>
    <n v="10000"/>
    <n v="60000"/>
    <n v="100000"/>
    <n v="4480000"/>
    <x v="102"/>
    <x v="0"/>
    <s v="KTU46JK"/>
    <x v="27"/>
    <n v="1000000102"/>
    <n v="2817217"/>
    <n v="18500"/>
    <n v="1662783"/>
    <n v="3182783"/>
    <x v="0"/>
    <x v="2"/>
    <n v="0.46953616666666664"/>
    <n v="0.62884308035714287"/>
    <n v="0.30833333333333335"/>
    <n v="166.2783"/>
    <x v="0"/>
    <x v="0"/>
  </r>
  <r>
    <d v="2025-04-09T00:00:00"/>
    <n v="337"/>
    <n v="6000000"/>
    <n v="11000"/>
    <n v="66000"/>
    <n v="50000"/>
    <n v="3707000"/>
    <x v="103"/>
    <x v="1"/>
    <s v="KTU45JK"/>
    <x v="89"/>
    <n v="1000000103"/>
    <n v="5456513"/>
    <n v="0"/>
    <n v="-1749513"/>
    <n v="543487"/>
    <x v="1"/>
    <x v="2"/>
    <n v="0.90941883333333329"/>
    <n v="1.4719484758564878"/>
    <n v="0"/>
    <n v="-159.04663636363637"/>
    <x v="1"/>
    <x v="1"/>
  </r>
  <r>
    <d v="2025-08-16T00:00:00"/>
    <n v="450"/>
    <n v="6000000"/>
    <n v="10000"/>
    <n v="60000"/>
    <n v="50000"/>
    <n v="4500000"/>
    <x v="104"/>
    <x v="0"/>
    <s v="EKY54AB"/>
    <x v="90"/>
    <n v="1000000104"/>
    <n v="3732258"/>
    <n v="50500"/>
    <n v="767742"/>
    <n v="2267742"/>
    <x v="0"/>
    <x v="2"/>
    <n v="0.62204300000000001"/>
    <n v="0.82939066666666672"/>
    <n v="0.84166666666666667"/>
    <n v="76.774199999999993"/>
    <x v="2"/>
    <x v="0"/>
  </r>
  <r>
    <d v="2025-04-06T00:00:00"/>
    <n v="357"/>
    <n v="6000000"/>
    <n v="10000"/>
    <n v="60000"/>
    <n v="50000"/>
    <n v="3570000"/>
    <x v="105"/>
    <x v="0"/>
    <s v="APP53CD"/>
    <x v="91"/>
    <n v="1000000105"/>
    <n v="4024004"/>
    <n v="56000"/>
    <n v="-454004"/>
    <n v="1975996"/>
    <x v="1"/>
    <x v="2"/>
    <n v="0.67066733333333328"/>
    <n v="1.1271719887955183"/>
    <n v="0.93333333333333335"/>
    <n v="-45.400399999999998"/>
    <x v="1"/>
    <x v="1"/>
  </r>
  <r>
    <d v="2025-07-24T00:00:00"/>
    <n v="390"/>
    <n v="6000000"/>
    <n v="10000"/>
    <n v="60000"/>
    <n v="50000"/>
    <n v="3900000"/>
    <x v="106"/>
    <x v="0"/>
    <s v="KTU44GH"/>
    <x v="92"/>
    <n v="1000000106"/>
    <n v="3365020"/>
    <n v="34000"/>
    <n v="534980"/>
    <n v="2634980"/>
    <x v="0"/>
    <x v="2"/>
    <n v="0.56083666666666665"/>
    <n v="0.86282564102564108"/>
    <n v="0.56666666666666665"/>
    <n v="53.497999999999998"/>
    <x v="2"/>
    <x v="1"/>
  </r>
  <r>
    <d v="2025-06-15T00:00:00"/>
    <n v="433"/>
    <n v="6000000"/>
    <n v="10000"/>
    <n v="60000"/>
    <n v="50000"/>
    <n v="4330000"/>
    <x v="107"/>
    <x v="0"/>
    <s v="KTU46LM"/>
    <x v="93"/>
    <n v="1000000107"/>
    <n v="3794814"/>
    <n v="63000"/>
    <n v="535186"/>
    <n v="2205186"/>
    <x v="0"/>
    <x v="2"/>
    <n v="0.63246899999999995"/>
    <n v="0.87640046189376442"/>
    <n v="1.05"/>
    <n v="53.518599999999999"/>
    <x v="2"/>
    <x v="0"/>
  </r>
  <r>
    <d v="2025-04-26T00:00:00"/>
    <n v="480"/>
    <n v="6000000"/>
    <n v="11000"/>
    <n v="66000"/>
    <n v="100000"/>
    <n v="5280000"/>
    <x v="108"/>
    <x v="1"/>
    <s v="LAG27NP"/>
    <x v="94"/>
    <n v="1000000108"/>
    <n v="4278883"/>
    <n v="0"/>
    <n v="1001117"/>
    <n v="1721117"/>
    <x v="0"/>
    <x v="2"/>
    <n v="0.71314716666666667"/>
    <n v="0.81039450757575759"/>
    <n v="0"/>
    <n v="91.010636363636365"/>
    <x v="2"/>
    <x v="0"/>
  </r>
  <r>
    <d v="2025-03-02T00:00:00"/>
    <n v="473"/>
    <n v="6000000"/>
    <n v="11000"/>
    <n v="66000"/>
    <n v="100000"/>
    <n v="5203000"/>
    <x v="109"/>
    <x v="0"/>
    <s v="MUS39JK"/>
    <x v="95"/>
    <n v="1000000109"/>
    <n v="4993289"/>
    <n v="54000"/>
    <n v="209711"/>
    <n v="1006711"/>
    <x v="0"/>
    <x v="2"/>
    <n v="0.83221483333333335"/>
    <n v="0.95969421487603301"/>
    <n v="0.81818181818181823"/>
    <n v="19.064636363636364"/>
    <x v="1"/>
    <x v="1"/>
  </r>
  <r>
    <d v="2025-03-11T00:00:00"/>
    <n v="393"/>
    <n v="6000000"/>
    <n v="11000"/>
    <n v="66000"/>
    <n v="50000"/>
    <n v="4323000"/>
    <x v="110"/>
    <x v="0"/>
    <s v="MUS64JK"/>
    <x v="96"/>
    <n v="1000000110"/>
    <n v="2890000"/>
    <n v="66000"/>
    <n v="1433000"/>
    <n v="3110000"/>
    <x v="0"/>
    <x v="2"/>
    <n v="0.48166666666666669"/>
    <n v="0.66851723340272962"/>
    <n v="1"/>
    <n v="130.27272727272728"/>
    <x v="0"/>
    <x v="1"/>
  </r>
  <r>
    <d v="2025-06-12T00:00:00"/>
    <n v="414"/>
    <n v="6000000"/>
    <n v="10000"/>
    <n v="60000"/>
    <n v="75000"/>
    <n v="4140000"/>
    <x v="111"/>
    <x v="0"/>
    <s v="EKY21GH"/>
    <x v="97"/>
    <n v="1000000111"/>
    <n v="3568535"/>
    <n v="27000"/>
    <n v="571465"/>
    <n v="2431465"/>
    <x v="0"/>
    <x v="2"/>
    <n v="0.59475583333333337"/>
    <n v="0.86196497584541065"/>
    <n v="0.45"/>
    <n v="57.146500000000003"/>
    <x v="2"/>
    <x v="0"/>
  </r>
  <r>
    <d v="2025-05-19T00:00:00"/>
    <n v="405"/>
    <n v="6000000"/>
    <n v="10000"/>
    <n v="60000"/>
    <n v="50000"/>
    <n v="4050000"/>
    <x v="112"/>
    <x v="1"/>
    <s v="MUS91AB"/>
    <x v="98"/>
    <n v="1000000112"/>
    <n v="3915001"/>
    <n v="0"/>
    <n v="134999"/>
    <n v="2084999"/>
    <x v="0"/>
    <x v="2"/>
    <n v="0.65250016666666666"/>
    <n v="0.96666691358024692"/>
    <n v="0"/>
    <n v="13.4999"/>
    <x v="1"/>
    <x v="1"/>
  </r>
  <r>
    <d v="2025-05-29T00:00:00"/>
    <n v="380"/>
    <n v="6000000"/>
    <n v="9000"/>
    <n v="54000"/>
    <n v="50000"/>
    <n v="3420000"/>
    <x v="113"/>
    <x v="0"/>
    <s v="LAG87CD"/>
    <x v="20"/>
    <n v="1000000113"/>
    <n v="3768467"/>
    <n v="21500"/>
    <n v="-348467"/>
    <n v="2231533"/>
    <x v="1"/>
    <x v="2"/>
    <n v="0.62807783333333334"/>
    <n v="1.1018909356725146"/>
    <n v="0.39814814814814814"/>
    <n v="-38.718555555555554"/>
    <x v="1"/>
    <x v="0"/>
  </r>
  <r>
    <d v="2025-06-27T00:00:00"/>
    <n v="371"/>
    <n v="6000000"/>
    <n v="11000"/>
    <n v="66000"/>
    <n v="100000"/>
    <n v="4081000"/>
    <x v="114"/>
    <x v="0"/>
    <s v="EKY29GH"/>
    <x v="85"/>
    <n v="1000000114"/>
    <n v="3791667"/>
    <n v="64000"/>
    <n v="289333"/>
    <n v="2208333"/>
    <x v="0"/>
    <x v="2"/>
    <n v="0.63194450000000002"/>
    <n v="0.92910242587601077"/>
    <n v="0.96969696969696972"/>
    <n v="26.303000000000001"/>
    <x v="1"/>
    <x v="0"/>
  </r>
  <r>
    <d v="2025-07-08T00:00:00"/>
    <n v="354"/>
    <n v="6000000"/>
    <n v="10000"/>
    <n v="60000"/>
    <n v="75000"/>
    <n v="3540000"/>
    <x v="115"/>
    <x v="1"/>
    <s v="EKY46AB"/>
    <x v="99"/>
    <n v="1000000115"/>
    <n v="2681677"/>
    <n v="0"/>
    <n v="858323"/>
    <n v="3318323"/>
    <x v="0"/>
    <x v="2"/>
    <n v="0.44694616666666664"/>
    <n v="0.75753587570621472"/>
    <n v="0"/>
    <n v="85.832300000000004"/>
    <x v="2"/>
    <x v="1"/>
  </r>
  <r>
    <d v="2025-07-27T00:00:00"/>
    <n v="407"/>
    <n v="6000000"/>
    <n v="10000"/>
    <n v="60000"/>
    <n v="75000"/>
    <n v="4070000"/>
    <x v="116"/>
    <x v="0"/>
    <s v="MUS70JK"/>
    <x v="100"/>
    <n v="1000000116"/>
    <n v="2921508"/>
    <n v="46500"/>
    <n v="1148492"/>
    <n v="3078492"/>
    <x v="0"/>
    <x v="2"/>
    <n v="0.48691800000000002"/>
    <n v="0.71781523341523346"/>
    <n v="0.77500000000000002"/>
    <n v="114.8492"/>
    <x v="2"/>
    <x v="0"/>
  </r>
  <r>
    <d v="2025-05-27T00:00:00"/>
    <n v="420"/>
    <n v="6000000"/>
    <n v="10000"/>
    <n v="60000"/>
    <n v="100000"/>
    <n v="4200000"/>
    <x v="117"/>
    <x v="0"/>
    <s v="APP77JK"/>
    <x v="101"/>
    <n v="1000000117"/>
    <n v="4351600"/>
    <n v="38500"/>
    <n v="-151600"/>
    <n v="1648400"/>
    <x v="1"/>
    <x v="2"/>
    <n v="0.72526666666666662"/>
    <n v="1.0360952380952382"/>
    <n v="0.64166666666666672"/>
    <n v="-15.16"/>
    <x v="1"/>
    <x v="1"/>
  </r>
  <r>
    <d v="2025-05-12T00:00:00"/>
    <n v="337"/>
    <n v="6000000"/>
    <n v="11000"/>
    <n v="66000"/>
    <n v="75000"/>
    <n v="3707000"/>
    <x v="118"/>
    <x v="1"/>
    <s v="KTU52AB"/>
    <x v="102"/>
    <n v="1000000118"/>
    <n v="3201904"/>
    <n v="33500"/>
    <n v="505096"/>
    <n v="2798096"/>
    <x v="0"/>
    <x v="2"/>
    <n v="0.53365066666666672"/>
    <n v="0.86374534664148905"/>
    <n v="0.50757575757575757"/>
    <n v="45.917818181818184"/>
    <x v="2"/>
    <x v="0"/>
  </r>
  <r>
    <d v="2025-08-16T00:00:00"/>
    <n v="414"/>
    <n v="6000000"/>
    <n v="9000"/>
    <n v="54000"/>
    <n v="75000"/>
    <n v="3726000"/>
    <x v="119"/>
    <x v="0"/>
    <s v="EKY49LM"/>
    <x v="103"/>
    <n v="1000000119"/>
    <n v="2777770"/>
    <n v="23000"/>
    <n v="948230"/>
    <n v="3222230"/>
    <x v="0"/>
    <x v="2"/>
    <n v="0.46296166666666666"/>
    <n v="0.74550993022007517"/>
    <n v="0.42592592592592593"/>
    <n v="105.35888888888888"/>
    <x v="2"/>
    <x v="1"/>
  </r>
  <r>
    <d v="2025-05-19T00:00:00"/>
    <n v="402"/>
    <n v="6000000"/>
    <n v="11000"/>
    <n v="66000"/>
    <n v="100000"/>
    <n v="4422000"/>
    <x v="120"/>
    <x v="1"/>
    <s v="KTU92LM"/>
    <x v="104"/>
    <n v="1000000120"/>
    <n v="4069028"/>
    <n v="0"/>
    <n v="352972"/>
    <n v="1930972"/>
    <x v="0"/>
    <x v="2"/>
    <n v="0.67817133333333335"/>
    <n v="0.92017819990954319"/>
    <n v="0"/>
    <n v="32.088363636363638"/>
    <x v="1"/>
    <x v="0"/>
  </r>
  <r>
    <d v="2025-06-01T00:00:00"/>
    <n v="371"/>
    <n v="6000000"/>
    <n v="10000"/>
    <n v="60000"/>
    <n v="50000"/>
    <n v="3710000"/>
    <x v="121"/>
    <x v="0"/>
    <s v="LAG38CD"/>
    <x v="87"/>
    <n v="1000000121"/>
    <n v="4449267"/>
    <n v="41000"/>
    <n v="-739267"/>
    <n v="1550733"/>
    <x v="1"/>
    <x v="2"/>
    <n v="0.74154450000000005"/>
    <n v="1.1992633423180592"/>
    <n v="0.68333333333333335"/>
    <n v="-73.926699999999997"/>
    <x v="1"/>
    <x v="0"/>
  </r>
  <r>
    <d v="2025-07-08T00:00:00"/>
    <n v="391"/>
    <n v="6000000"/>
    <n v="10000"/>
    <n v="60000"/>
    <n v="100000"/>
    <n v="3910000"/>
    <x v="122"/>
    <x v="0"/>
    <s v="MUS58CD"/>
    <x v="105"/>
    <n v="1000000122"/>
    <n v="2454832"/>
    <n v="27500"/>
    <n v="1455168"/>
    <n v="3545168"/>
    <x v="0"/>
    <x v="2"/>
    <n v="0.40913866666666665"/>
    <n v="0.62783427109974421"/>
    <n v="0.45833333333333331"/>
    <n v="145.51679999999999"/>
    <x v="0"/>
    <x v="1"/>
  </r>
  <r>
    <d v="2025-06-14T00:00:00"/>
    <n v="439"/>
    <n v="6000000"/>
    <n v="10000"/>
    <n v="60000"/>
    <n v="100000"/>
    <n v="4390000"/>
    <x v="123"/>
    <x v="0"/>
    <s v="APP39JK"/>
    <x v="106"/>
    <n v="1000000123"/>
    <n v="3701459"/>
    <n v="30500"/>
    <n v="688541"/>
    <n v="2298541"/>
    <x v="0"/>
    <x v="2"/>
    <n v="0.61690983333333338"/>
    <n v="0.84315694760820048"/>
    <n v="0.5083333333333333"/>
    <n v="68.854100000000003"/>
    <x v="2"/>
    <x v="0"/>
  </r>
  <r>
    <d v="2025-04-19T00:00:00"/>
    <n v="438"/>
    <n v="6000000"/>
    <n v="10000"/>
    <n v="60000"/>
    <n v="100000"/>
    <n v="4380000"/>
    <x v="124"/>
    <x v="0"/>
    <s v="EKY58JK"/>
    <x v="107"/>
    <n v="1000000124"/>
    <n v="5759805"/>
    <n v="70000"/>
    <n v="-1379805"/>
    <n v="240195"/>
    <x v="1"/>
    <x v="2"/>
    <n v="0.95996749999999997"/>
    <n v="1.3150239726027397"/>
    <n v="1.1666666666666667"/>
    <n v="-137.98050000000001"/>
    <x v="1"/>
    <x v="1"/>
  </r>
  <r>
    <d v="2025-04-21T00:00:00"/>
    <n v="446"/>
    <n v="6000000"/>
    <n v="9000"/>
    <n v="54000"/>
    <n v="75000"/>
    <n v="4014000"/>
    <x v="125"/>
    <x v="1"/>
    <s v="MUS23LM"/>
    <x v="108"/>
    <n v="1000000125"/>
    <n v="3222624"/>
    <n v="0"/>
    <n v="791376"/>
    <n v="2777376"/>
    <x v="0"/>
    <x v="2"/>
    <n v="0.53710400000000003"/>
    <n v="0.8028460388639761"/>
    <n v="0"/>
    <n v="87.930666666666667"/>
    <x v="2"/>
    <x v="0"/>
  </r>
  <r>
    <d v="2025-04-11T00:00:00"/>
    <n v="390"/>
    <n v="6000000"/>
    <n v="10000"/>
    <n v="60000"/>
    <n v="75000"/>
    <n v="3900000"/>
    <x v="126"/>
    <x v="0"/>
    <s v="KTU38NP"/>
    <x v="109"/>
    <n v="1000000126"/>
    <n v="5968500"/>
    <n v="70000"/>
    <n v="-2068500"/>
    <n v="31500"/>
    <x v="1"/>
    <x v="2"/>
    <n v="0.99475000000000002"/>
    <n v="1.5303846153846155"/>
    <n v="1.1666666666666667"/>
    <n v="-206.85"/>
    <x v="1"/>
    <x v="1"/>
  </r>
  <r>
    <d v="2025-06-15T00:00:00"/>
    <n v="450"/>
    <n v="6000000"/>
    <n v="10000"/>
    <n v="60000"/>
    <n v="75000"/>
    <n v="4500000"/>
    <x v="127"/>
    <x v="0"/>
    <s v="EKY38AB"/>
    <x v="2"/>
    <n v="1000000127"/>
    <n v="2423590"/>
    <n v="35000"/>
    <n v="2076410"/>
    <n v="3576410"/>
    <x v="0"/>
    <x v="2"/>
    <n v="0.40393166666666669"/>
    <n v="0.53857555555555559"/>
    <n v="0.58333333333333337"/>
    <n v="207.64099999999999"/>
    <x v="0"/>
    <x v="0"/>
  </r>
  <r>
    <d v="2025-04-07T00:00:00"/>
    <n v="478"/>
    <n v="6000000"/>
    <n v="9000"/>
    <n v="54000"/>
    <n v="50000"/>
    <n v="4302000"/>
    <x v="128"/>
    <x v="0"/>
    <s v="LAG70GH"/>
    <x v="82"/>
    <n v="1000000128"/>
    <n v="4977029"/>
    <n v="45000"/>
    <n v="-675029"/>
    <n v="1022971"/>
    <x v="1"/>
    <x v="2"/>
    <n v="0.82950483333333336"/>
    <n v="1.1569105067410508"/>
    <n v="0.83333333333333337"/>
    <n v="-75.00322222222222"/>
    <x v="1"/>
    <x v="0"/>
  </r>
  <r>
    <d v="2025-03-05T00:00:00"/>
    <n v="471"/>
    <n v="6000000"/>
    <n v="10000"/>
    <n v="60000"/>
    <n v="50000"/>
    <n v="4710000"/>
    <x v="129"/>
    <x v="0"/>
    <s v="APP24NP"/>
    <x v="53"/>
    <n v="1000000129"/>
    <n v="5238269"/>
    <n v="40000"/>
    <n v="-528269"/>
    <n v="761731"/>
    <x v="1"/>
    <x v="2"/>
    <n v="0.87304483333333338"/>
    <n v="1.1121590233545648"/>
    <n v="0.66666666666666663"/>
    <n v="-52.826900000000002"/>
    <x v="1"/>
    <x v="1"/>
  </r>
  <r>
    <d v="2025-03-13T00:00:00"/>
    <n v="450"/>
    <n v="6000000"/>
    <n v="9000"/>
    <n v="54000"/>
    <n v="75000"/>
    <n v="4050000"/>
    <x v="130"/>
    <x v="1"/>
    <s v="APP86JK"/>
    <x v="110"/>
    <n v="1000000130"/>
    <n v="3700133"/>
    <n v="0"/>
    <n v="349867"/>
    <n v="2299867"/>
    <x v="0"/>
    <x v="2"/>
    <n v="0.61668883333333335"/>
    <n v="0.91361308641975314"/>
    <n v="0"/>
    <n v="38.874111111111112"/>
    <x v="1"/>
    <x v="1"/>
  </r>
  <r>
    <d v="2025-04-06T00:00:00"/>
    <n v="467"/>
    <n v="6000000"/>
    <n v="10000"/>
    <n v="60000"/>
    <n v="75000"/>
    <n v="4670000"/>
    <x v="131"/>
    <x v="0"/>
    <s v="LAG95LM"/>
    <x v="111"/>
    <n v="1000000131"/>
    <n v="2233406"/>
    <n v="10500"/>
    <n v="2436594"/>
    <n v="3766594"/>
    <x v="0"/>
    <x v="2"/>
    <n v="0.37223433333333333"/>
    <n v="0.47824539614561029"/>
    <n v="0.17499999999999999"/>
    <n v="243.65940000000001"/>
    <x v="0"/>
    <x v="0"/>
  </r>
  <r>
    <d v="2025-03-18T00:00:00"/>
    <n v="406"/>
    <n v="6000000"/>
    <n v="10000"/>
    <n v="60000"/>
    <n v="75000"/>
    <n v="4060000"/>
    <x v="132"/>
    <x v="0"/>
    <s v="EKY42LM"/>
    <x v="42"/>
    <n v="1000000132"/>
    <n v="3669118"/>
    <n v="36000"/>
    <n v="390882"/>
    <n v="2330882"/>
    <x v="0"/>
    <x v="2"/>
    <n v="0.61151966666666668"/>
    <n v="0.903723645320197"/>
    <n v="0.6"/>
    <n v="39.088200000000001"/>
    <x v="1"/>
    <x v="1"/>
  </r>
  <r>
    <d v="2025-05-28T00:00:00"/>
    <n v="343"/>
    <n v="6000000"/>
    <n v="9000"/>
    <n v="54000"/>
    <n v="100000"/>
    <n v="3087000"/>
    <x v="133"/>
    <x v="0"/>
    <s v="LAG15EF"/>
    <x v="112"/>
    <n v="1000000133"/>
    <n v="4709067"/>
    <n v="27000"/>
    <n v="-1622067"/>
    <n v="1290933"/>
    <x v="1"/>
    <x v="2"/>
    <n v="0.78484449999999994"/>
    <n v="1.5254509232264335"/>
    <n v="0.5"/>
    <n v="-180.22966666666667"/>
    <x v="1"/>
    <x v="0"/>
  </r>
  <r>
    <d v="2025-08-09T00:00:00"/>
    <n v="413"/>
    <n v="6000000"/>
    <n v="9000"/>
    <n v="54000"/>
    <n v="50000"/>
    <n v="3717000"/>
    <x v="134"/>
    <x v="0"/>
    <s v="KTU47CD"/>
    <x v="113"/>
    <n v="1000000134"/>
    <n v="2938852"/>
    <n v="22500"/>
    <n v="778148"/>
    <n v="3061148"/>
    <x v="0"/>
    <x v="2"/>
    <n v="0.48980866666666667"/>
    <n v="0.79065160075329566"/>
    <n v="0.41666666666666669"/>
    <n v="86.460888888888888"/>
    <x v="2"/>
    <x v="1"/>
  </r>
  <r>
    <d v="2025-05-20T00:00:00"/>
    <n v="338"/>
    <n v="6000000"/>
    <n v="10000"/>
    <n v="60000"/>
    <n v="100000"/>
    <n v="3380000"/>
    <x v="135"/>
    <x v="1"/>
    <s v="EKY14NP"/>
    <x v="114"/>
    <n v="1000000135"/>
    <n v="5192535"/>
    <n v="0"/>
    <n v="-1812535"/>
    <n v="807465"/>
    <x v="1"/>
    <x v="2"/>
    <n v="0.86542249999999998"/>
    <n v="1.5362529585798816"/>
    <n v="0"/>
    <n v="-181.2535"/>
    <x v="1"/>
    <x v="0"/>
  </r>
  <r>
    <d v="2025-08-15T00:00:00"/>
    <n v="368"/>
    <n v="6000000"/>
    <n v="10000"/>
    <n v="60000"/>
    <n v="75000"/>
    <n v="3680000"/>
    <x v="136"/>
    <x v="0"/>
    <s v="APP66GH"/>
    <x v="51"/>
    <n v="1000000136"/>
    <n v="4098372"/>
    <n v="31500"/>
    <n v="-418372"/>
    <n v="1901628"/>
    <x v="1"/>
    <x v="2"/>
    <n v="0.68306199999999995"/>
    <n v="1.1136880434782608"/>
    <n v="0.52500000000000002"/>
    <n v="-41.837200000000003"/>
    <x v="1"/>
    <x v="0"/>
  </r>
  <r>
    <d v="2025-07-11T00:00:00"/>
    <n v="384"/>
    <n v="6000000"/>
    <n v="10000"/>
    <n v="60000"/>
    <n v="50000"/>
    <n v="3840000"/>
    <x v="137"/>
    <x v="0"/>
    <s v="MUS47EF"/>
    <x v="115"/>
    <n v="1000000137"/>
    <n v="3178280"/>
    <n v="47000"/>
    <n v="661720"/>
    <n v="2821720"/>
    <x v="0"/>
    <x v="2"/>
    <n v="0.52971333333333337"/>
    <n v="0.82767708333333334"/>
    <n v="0.78333333333333333"/>
    <n v="66.171999999999997"/>
    <x v="2"/>
    <x v="1"/>
  </r>
  <r>
    <d v="2025-06-23T00:00:00"/>
    <n v="342"/>
    <n v="6000000"/>
    <n v="11000"/>
    <n v="66000"/>
    <n v="50000"/>
    <n v="3762000"/>
    <x v="138"/>
    <x v="0"/>
    <s v="EKY88GH"/>
    <x v="116"/>
    <n v="1000000138"/>
    <n v="4454002"/>
    <n v="57000"/>
    <n v="-692002"/>
    <n v="1545998"/>
    <x v="1"/>
    <x v="2"/>
    <n v="0.74233366666666667"/>
    <n v="1.1839452418926104"/>
    <n v="0.86363636363636365"/>
    <n v="-62.909272727272729"/>
    <x v="1"/>
    <x v="0"/>
  </r>
  <r>
    <d v="2025-08-11T00:00:00"/>
    <n v="467"/>
    <n v="6000000"/>
    <n v="11000"/>
    <n v="66000"/>
    <n v="75000"/>
    <n v="5137000"/>
    <x v="139"/>
    <x v="0"/>
    <s v="KTU28NP"/>
    <x v="117"/>
    <n v="1000000139"/>
    <n v="3885635"/>
    <n v="66000"/>
    <n v="1251365"/>
    <n v="2114365"/>
    <x v="0"/>
    <x v="2"/>
    <n v="0.64760583333333333"/>
    <n v="0.75640159626240999"/>
    <n v="1"/>
    <n v="113.76045454545455"/>
    <x v="2"/>
    <x v="1"/>
  </r>
  <r>
    <d v="2025-03-18T00:00:00"/>
    <n v="465"/>
    <n v="6000000"/>
    <n v="9000"/>
    <n v="54000"/>
    <n v="100000"/>
    <n v="4185000"/>
    <x v="140"/>
    <x v="0"/>
    <s v="MUS29LM"/>
    <x v="109"/>
    <n v="1000000140"/>
    <n v="4378226"/>
    <n v="42500"/>
    <n v="-193226"/>
    <n v="1621774"/>
    <x v="1"/>
    <x v="2"/>
    <n v="0.72970433333333329"/>
    <n v="1.0461710872162484"/>
    <n v="0.78703703703703709"/>
    <n v="-21.469555555555555"/>
    <x v="1"/>
    <x v="0"/>
  </r>
  <r>
    <d v="2025-03-20T00:00:00"/>
    <n v="359"/>
    <n v="6000000"/>
    <n v="9000"/>
    <n v="54000"/>
    <n v="100000"/>
    <n v="3231000"/>
    <x v="141"/>
    <x v="1"/>
    <s v="LAG24AB"/>
    <x v="118"/>
    <n v="1000000141"/>
    <n v="5365844"/>
    <n v="0"/>
    <n v="-2134844"/>
    <n v="634156"/>
    <x v="1"/>
    <x v="2"/>
    <n v="0.89430733333333334"/>
    <n v="1.6607378520581864"/>
    <n v="0"/>
    <n v="-237.20488888888889"/>
    <x v="1"/>
    <x v="1"/>
  </r>
  <r>
    <d v="2025-07-22T00:00:00"/>
    <n v="466"/>
    <n v="6000000"/>
    <n v="10000"/>
    <n v="60000"/>
    <n v="75000"/>
    <n v="4660000"/>
    <x v="142"/>
    <x v="0"/>
    <s v="MUS46LM"/>
    <x v="119"/>
    <n v="1000000142"/>
    <n v="3836399"/>
    <n v="40000"/>
    <n v="823601"/>
    <n v="2163601"/>
    <x v="0"/>
    <x v="2"/>
    <n v="0.63939983333333328"/>
    <n v="0.82326158798283267"/>
    <n v="0.66666666666666663"/>
    <n v="82.360100000000003"/>
    <x v="2"/>
    <x v="0"/>
  </r>
  <r>
    <d v="2025-03-19T00:00:00"/>
    <n v="447"/>
    <n v="6000000"/>
    <n v="11000"/>
    <n v="66000"/>
    <n v="50000"/>
    <n v="4917000"/>
    <x v="143"/>
    <x v="0"/>
    <s v="EKY18JK"/>
    <x v="120"/>
    <n v="1000000143"/>
    <n v="5119868"/>
    <n v="60000"/>
    <n v="-202868"/>
    <n v="880132"/>
    <x v="1"/>
    <x v="2"/>
    <n v="0.85331133333333331"/>
    <n v="1.0412584909497662"/>
    <n v="0.90909090909090906"/>
    <n v="-18.442545454545453"/>
    <x v="1"/>
    <x v="0"/>
  </r>
  <r>
    <d v="2025-04-10T00:00:00"/>
    <n v="379"/>
    <n v="6000000"/>
    <n v="9000"/>
    <n v="54000"/>
    <n v="75000"/>
    <n v="3411000"/>
    <x v="144"/>
    <x v="0"/>
    <s v="LAG40NP"/>
    <x v="78"/>
    <n v="1000000144"/>
    <n v="4302505"/>
    <n v="55000"/>
    <n v="-891505"/>
    <n v="1697495"/>
    <x v="1"/>
    <x v="2"/>
    <n v="0.71708416666666663"/>
    <n v="1.261361770741718"/>
    <n v="1.0185185185185186"/>
    <n v="-99.056111111111107"/>
    <x v="1"/>
    <x v="1"/>
  </r>
  <r>
    <d v="2025-06-28T00:00:00"/>
    <n v="412"/>
    <n v="6000000"/>
    <n v="9000"/>
    <n v="54000"/>
    <n v="100000"/>
    <n v="3708000"/>
    <x v="145"/>
    <x v="0"/>
    <s v="APP77GH"/>
    <x v="121"/>
    <n v="1000000145"/>
    <n v="3377074"/>
    <n v="22000"/>
    <n v="330926"/>
    <n v="2622926"/>
    <x v="0"/>
    <x v="2"/>
    <n v="0.56284566666666669"/>
    <n v="0.91075350593311755"/>
    <n v="0.40740740740740738"/>
    <n v="36.769555555555556"/>
    <x v="1"/>
    <x v="1"/>
  </r>
  <r>
    <d v="2025-05-21T00:00:00"/>
    <n v="372"/>
    <n v="6000000"/>
    <n v="10000"/>
    <n v="60000"/>
    <n v="75000"/>
    <n v="3720000"/>
    <x v="146"/>
    <x v="0"/>
    <s v="LAG80LM"/>
    <x v="122"/>
    <n v="1000000146"/>
    <n v="3055977"/>
    <n v="41500"/>
    <n v="664023"/>
    <n v="2944023"/>
    <x v="0"/>
    <x v="2"/>
    <n v="0.50932949999999999"/>
    <n v="0.82149919354838707"/>
    <n v="0.69166666666666665"/>
    <n v="66.402299999999997"/>
    <x v="2"/>
    <x v="0"/>
  </r>
  <r>
    <d v="2025-07-07T00:00:00"/>
    <n v="438"/>
    <n v="6000000"/>
    <n v="10000"/>
    <n v="60000"/>
    <n v="50000"/>
    <n v="4380000"/>
    <x v="147"/>
    <x v="0"/>
    <s v="LAG51LM"/>
    <x v="23"/>
    <n v="1000000147"/>
    <n v="3214018"/>
    <n v="49000"/>
    <n v="1165982"/>
    <n v="2785982"/>
    <x v="0"/>
    <x v="2"/>
    <n v="0.53566966666666671"/>
    <n v="0.73379406392694069"/>
    <n v="0.81666666666666665"/>
    <n v="116.59820000000001"/>
    <x v="2"/>
    <x v="0"/>
  </r>
  <r>
    <d v="2025-04-20T00:00:00"/>
    <n v="438"/>
    <n v="6000000"/>
    <n v="10000"/>
    <n v="60000"/>
    <n v="50000"/>
    <n v="4380000"/>
    <x v="148"/>
    <x v="1"/>
    <s v="MUS92CD"/>
    <x v="123"/>
    <n v="1000000148"/>
    <n v="5130314"/>
    <n v="0"/>
    <n v="-750314"/>
    <n v="869686"/>
    <x v="1"/>
    <x v="2"/>
    <n v="0.8550523333333333"/>
    <n v="1.1713045662100456"/>
    <n v="0"/>
    <n v="-75.031400000000005"/>
    <x v="1"/>
    <x v="1"/>
  </r>
  <r>
    <d v="2025-04-20T00:00:00"/>
    <n v="438"/>
    <n v="6000000"/>
    <n v="10000"/>
    <n v="60000"/>
    <n v="100000"/>
    <n v="4380000"/>
    <x v="149"/>
    <x v="0"/>
    <s v="KTU15LM"/>
    <x v="124"/>
    <n v="1000000149"/>
    <n v="3895698"/>
    <n v="31500"/>
    <n v="484302"/>
    <n v="2104302"/>
    <x v="0"/>
    <x v="2"/>
    <n v="0.64928300000000005"/>
    <n v="0.88942876712328767"/>
    <n v="0.52500000000000002"/>
    <n v="48.430199999999999"/>
    <x v="2"/>
    <x v="0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  <r>
    <m/>
    <m/>
    <m/>
    <m/>
    <m/>
    <m/>
    <m/>
    <x v="150"/>
    <x v="3"/>
    <m/>
    <x v="125"/>
    <m/>
    <m/>
    <m/>
    <m/>
    <m/>
    <x v="2"/>
    <x v="3"/>
    <m/>
    <m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FDF59-0285-4C3C-8D81-E38DE2F92AF2}" name="PivotTable19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6:B18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2">
    <field x="17"/>
    <field x="2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unique_i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3ECF3-B2E9-45AB-BB4C-12B3C33ADB9D}" name="PivotTable1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9:B17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m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7"/>
    <field x="8"/>
  </rowFields>
  <rowItems count="1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unique_i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852F8-2502-4C79-8CA0-DE1E57FDB4B8}" name="PivotTable1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2:B15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7"/>
    <field x="16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unique_id" fld="7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BC870-C492-47D6-B585-4AFD5391D048}" name="PivotTable1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3:E137" firstHeaderRow="0" firstDataRow="1" firstDataCol="1" rowPageCount="2" colPageCount="1"/>
  <pivotFields count="24">
    <pivotField showAll="0"/>
    <pivotField showAll="0"/>
    <pivotField showAll="0"/>
    <pivotField showAll="0"/>
    <pivotField showAll="0"/>
    <pivotField showAll="0"/>
    <pivotField showAll="0"/>
    <pivotField axis="axisRow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Page" dataField="1" multipleItemSelectionAllowed="1" showAll="0">
      <items count="4">
        <item x="1"/>
        <item h="1" x="0"/>
        <item h="1" x="2"/>
        <item t="default"/>
      </items>
    </pivotField>
    <pivotField axis="axisRow" showAll="0">
      <items count="5">
        <item sd="0" x="2"/>
        <item sd="0" x="0"/>
        <item sd="0" x="1"/>
        <item x="3"/>
        <item t="default"/>
      </items>
    </pivotField>
    <pivotField showAll="0"/>
    <pivotField showAll="0"/>
    <pivotField showAll="0"/>
    <pivotField dataField="1" showAll="0"/>
    <pivotField showAll="0"/>
    <pivotField axis="axisPage" showAll="0">
      <items count="4">
        <item x="1"/>
        <item x="0"/>
        <item x="2"/>
        <item t="default"/>
      </items>
    </pivotField>
  </pivotFields>
  <rowFields count="2">
    <field x="17"/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6" hier="-1"/>
    <pageField fld="23" hier="-1"/>
  </pageFields>
  <dataFields count="4">
    <dataField name="Count of Asset status" fld="16" subtotal="count" baseField="0" baseItem="0"/>
    <dataField name="Sum of Total Received" fld="12" baseField="0" baseItem="0"/>
    <dataField name="Sum of Outstanding" fld="14" baseField="0" baseItem="0"/>
    <dataField name="Average of Days behind" fld="21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45F89-5FA2-412B-AB3B-353A8776AD05}" name="PivotTable1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F71" firstHeaderRow="0" firstDataRow="1" firstDataCol="1" rowPageCount="2" colPageCount="1"/>
  <pivotFields count="2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27">
        <item x="14"/>
        <item x="35"/>
        <item x="65"/>
        <item x="86"/>
        <item x="110"/>
        <item x="42"/>
        <item x="124"/>
        <item x="12"/>
        <item x="122"/>
        <item x="123"/>
        <item x="57"/>
        <item x="93"/>
        <item x="9"/>
        <item x="108"/>
        <item x="69"/>
        <item x="98"/>
        <item x="13"/>
        <item x="8"/>
        <item x="107"/>
        <item x="46"/>
        <item x="6"/>
        <item x="25"/>
        <item x="70"/>
        <item x="55"/>
        <item x="113"/>
        <item x="79"/>
        <item x="62"/>
        <item x="90"/>
        <item x="105"/>
        <item x="59"/>
        <item x="5"/>
        <item x="56"/>
        <item x="118"/>
        <item x="68"/>
        <item x="78"/>
        <item x="54"/>
        <item x="119"/>
        <item x="66"/>
        <item x="67"/>
        <item x="20"/>
        <item x="61"/>
        <item x="111"/>
        <item x="99"/>
        <item x="85"/>
        <item x="71"/>
        <item x="82"/>
        <item x="21"/>
        <item x="101"/>
        <item x="117"/>
        <item x="32"/>
        <item x="88"/>
        <item x="11"/>
        <item x="84"/>
        <item x="91"/>
        <item x="81"/>
        <item x="115"/>
        <item x="24"/>
        <item x="97"/>
        <item x="80"/>
        <item x="47"/>
        <item x="49"/>
        <item x="58"/>
        <item x="39"/>
        <item x="109"/>
        <item x="45"/>
        <item x="34"/>
        <item x="75"/>
        <item x="121"/>
        <item x="26"/>
        <item x="16"/>
        <item x="104"/>
        <item x="92"/>
        <item x="52"/>
        <item x="114"/>
        <item x="19"/>
        <item x="74"/>
        <item x="33"/>
        <item x="77"/>
        <item x="73"/>
        <item x="3"/>
        <item x="103"/>
        <item x="43"/>
        <item x="31"/>
        <item x="48"/>
        <item x="18"/>
        <item x="63"/>
        <item x="96"/>
        <item x="94"/>
        <item x="64"/>
        <item x="116"/>
        <item x="10"/>
        <item x="38"/>
        <item x="7"/>
        <item x="87"/>
        <item x="28"/>
        <item x="44"/>
        <item x="100"/>
        <item x="83"/>
        <item x="102"/>
        <item x="112"/>
        <item x="0"/>
        <item x="17"/>
        <item x="120"/>
        <item x="41"/>
        <item x="95"/>
        <item x="1"/>
        <item x="29"/>
        <item x="4"/>
        <item x="30"/>
        <item x="106"/>
        <item x="37"/>
        <item x="23"/>
        <item x="89"/>
        <item x="15"/>
        <item x="2"/>
        <item x="51"/>
        <item x="50"/>
        <item x="40"/>
        <item x="60"/>
        <item x="76"/>
        <item x="53"/>
        <item x="22"/>
        <item x="72"/>
        <item x="36"/>
        <item x="27"/>
        <item x="125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dataField="1" showAll="0"/>
    <pivotField showAll="0"/>
    <pivotField dataField="1" showAll="0"/>
    <pivotField showAll="0"/>
    <pivotField showAll="0"/>
    <pivotField axis="axisRow" multipleItemSelectionAllowed="1" showAll="0" sortType="a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showAll="0"/>
    <pivotField dataField="1" showAll="0"/>
    <pivotField showAll="0"/>
    <pivotField dataField="1" showAll="0"/>
    <pivotField axis="axisPage" multipleItemSelectionAllowed="1" showAll="0">
      <items count="5">
        <item h="1" x="1"/>
        <item h="1" x="2"/>
        <item x="0"/>
        <item h="1" x="3"/>
        <item t="default"/>
      </items>
    </pivotField>
    <pivotField axis="axisPage" showAll="0">
      <items count="4">
        <item x="1"/>
        <item x="0"/>
        <item x="2"/>
        <item t="default"/>
      </items>
    </pivotField>
  </pivotFields>
  <rowFields count="2">
    <field x="17"/>
    <field x="10"/>
  </rowFields>
  <rowItems count="24">
    <i>
      <x/>
    </i>
    <i r="1">
      <x v="41"/>
    </i>
    <i r="1">
      <x v="114"/>
    </i>
    <i r="1">
      <x v="28"/>
    </i>
    <i r="1">
      <x v="124"/>
    </i>
    <i r="1">
      <x v="86"/>
    </i>
    <i>
      <x v="1"/>
    </i>
    <i r="1">
      <x v="84"/>
    </i>
    <i r="1">
      <x v="123"/>
    </i>
    <i r="1">
      <x v="100"/>
    </i>
    <i r="1">
      <x v="74"/>
    </i>
    <i r="1">
      <x v="108"/>
    </i>
    <i>
      <x v="2"/>
    </i>
    <i r="1">
      <x v="29"/>
    </i>
    <i r="1">
      <x v="75"/>
    </i>
    <i r="1">
      <x v="22"/>
    </i>
    <i r="1">
      <x v="92"/>
    </i>
    <i r="1">
      <x v="25"/>
    </i>
    <i r="1">
      <x v="105"/>
    </i>
    <i r="1">
      <x v="120"/>
    </i>
    <i r="1">
      <x v="54"/>
    </i>
    <i r="1">
      <x v="14"/>
    </i>
    <i r="1">
      <x v="7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3" hier="-1"/>
    <pageField fld="22" hier="-1"/>
  </pageFields>
  <dataFields count="5">
    <dataField name="Sum of Due today" fld="6" baseField="0" baseItem="0"/>
    <dataField name="Sum of Total Received" fld="12" baseField="0" baseItem="0"/>
    <dataField name="Sum of Outstanding" fld="14" baseField="0" baseItem="0"/>
    <dataField name="Average of Days behind" fld="21" subtotal="average" baseField="10" baseItem="0"/>
    <dataField name="Average of Payment rate" fld="19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AD6ED-A017-4126-82DE-A9EE917F9B0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7:F11" firstHeaderRow="0" firstDataRow="1" firstDataCol="1"/>
  <pivotFields count="24">
    <pivotField numFmtId="166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dataField="1" numFmtId="164" showAll="0"/>
    <pivotField numFmtId="164" showAll="0"/>
    <pivotField showAll="0"/>
    <pivotField axis="axisRow" showAll="0">
      <items count="4">
        <item sd="0" x="2"/>
        <item sd="0" x="0"/>
        <item sd="0" x="1"/>
        <item t="default" sd="0"/>
      </items>
    </pivotField>
    <pivotField numFmtId="9" showAll="0"/>
    <pivotField dataField="1" numFmtId="9" showAll="0"/>
    <pivotField numFmtId="9" showAll="0"/>
    <pivotField dataField="1" numFmtId="164" showAll="0"/>
    <pivotField showAll="0"/>
    <pivotField showAll="0"/>
  </pivotFields>
  <rowFields count="2">
    <field x="17"/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Received" fld="12" baseField="0" baseItem="0" numFmtId="164"/>
    <dataField name="Average of Payment rate" fld="19" subtotal="average" baseField="17" baseItem="2" numFmtId="9"/>
    <dataField name="Sum of Due today" fld="6" baseField="0" baseItem="0" numFmtId="164"/>
    <dataField name="Sum of Outstanding" fld="14" baseField="0" baseItem="0" numFmtId="164"/>
    <dataField name="Average of Days behind" fld="21" subtotal="average" baseField="1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89EFF-3299-4CFF-8938-A263CF6F074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4">
    <pivotField numFmtId="166"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dataField="1" numFmtId="164" showAll="0"/>
    <pivotField numFmtId="164" showAll="0"/>
    <pivotField showAll="0"/>
    <pivotField showAll="0"/>
    <pivotField numFmtId="9" showAll="0"/>
    <pivotField dataField="1" numFmtId="9" showAll="0"/>
    <pivotField numFmtId="9" showAll="0"/>
    <pivotField numFmtId="164"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ayment rate" fld="19" subtotal="average" baseField="0" baseItem="1" numFmtId="9"/>
    <dataField name="Sum of Due today" fld="6" baseField="0" baseItem="0" numFmtId="164"/>
    <dataField name="Sum of Total Received" fld="12" baseField="0" baseItem="0" numFmtId="164"/>
    <dataField name="Sum of Outstanding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80AF-FE39-4B61-8B19-EC2772A64B3D}">
  <dimension ref="A1:A7"/>
  <sheetViews>
    <sheetView workbookViewId="0">
      <selection sqref="A1:A7"/>
    </sheetView>
  </sheetViews>
  <sheetFormatPr defaultRowHeight="15" x14ac:dyDescent="0.25"/>
  <sheetData>
    <row r="1" spans="1:1" x14ac:dyDescent="0.25">
      <c r="A1" t="s">
        <v>454</v>
      </c>
    </row>
    <row r="2" spans="1:1" x14ac:dyDescent="0.25">
      <c r="A2" t="s">
        <v>455</v>
      </c>
    </row>
    <row r="3" spans="1:1" x14ac:dyDescent="0.25">
      <c r="A3" t="s">
        <v>456</v>
      </c>
    </row>
    <row r="4" spans="1:1" x14ac:dyDescent="0.25">
      <c r="A4" t="s">
        <v>457</v>
      </c>
    </row>
    <row r="5" spans="1:1" x14ac:dyDescent="0.25">
      <c r="A5" t="s">
        <v>458</v>
      </c>
    </row>
    <row r="6" spans="1:1" x14ac:dyDescent="0.25">
      <c r="A6" t="s">
        <v>459</v>
      </c>
    </row>
    <row r="7" spans="1:1" x14ac:dyDescent="0.25">
      <c r="A7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B2FB-9FED-4525-8AA5-D5BB04F8947A}">
  <dimension ref="A1:X151"/>
  <sheetViews>
    <sheetView topLeftCell="Q1" workbookViewId="0">
      <selection activeCell="O1" sqref="A1:XFD1048576"/>
    </sheetView>
  </sheetViews>
  <sheetFormatPr defaultRowHeight="15" x14ac:dyDescent="0.25"/>
  <cols>
    <col min="1" max="1" width="10.42578125" style="2" bestFit="1" customWidth="1"/>
    <col min="2" max="2" width="11.28515625" bestFit="1" customWidth="1"/>
    <col min="3" max="3" width="20.7109375" style="1" bestFit="1" customWidth="1"/>
    <col min="4" max="4" width="12.85546875" style="1" bestFit="1" customWidth="1"/>
    <col min="5" max="5" width="14.7109375" style="1" bestFit="1" customWidth="1"/>
    <col min="6" max="6" width="14.42578125" style="1" bestFit="1" customWidth="1"/>
    <col min="7" max="7" width="9.7109375" style="1" bestFit="1" customWidth="1"/>
    <col min="8" max="8" width="13.7109375" bestFit="1" customWidth="1"/>
    <col min="9" max="9" width="10" bestFit="1" customWidth="1"/>
    <col min="10" max="10" width="13.28515625" bestFit="1" customWidth="1"/>
    <col min="11" max="11" width="19.85546875" bestFit="1" customWidth="1"/>
    <col min="12" max="12" width="16" bestFit="1" customWidth="1"/>
    <col min="13" max="14" width="13.85546875" style="1" bestFit="1" customWidth="1"/>
    <col min="15" max="15" width="11.85546875" style="1" bestFit="1" customWidth="1"/>
    <col min="16" max="16" width="18.42578125" style="1" bestFit="1" customWidth="1"/>
    <col min="17" max="17" width="14.7109375" bestFit="1" customWidth="1"/>
    <col min="18" max="18" width="8.5703125" bestFit="1" customWidth="1"/>
    <col min="19" max="19" width="16.85546875" style="3" bestFit="1" customWidth="1"/>
    <col min="20" max="20" width="12.42578125" style="3" bestFit="1" customWidth="1"/>
    <col min="21" max="21" width="19.28515625" bestFit="1" customWidth="1"/>
    <col min="22" max="22" width="11.85546875" bestFit="1" customWidth="1"/>
    <col min="23" max="23" width="31.140625" bestFit="1" customWidth="1"/>
    <col min="24" max="24" width="11.42578125" bestFit="1" customWidth="1"/>
  </cols>
  <sheetData>
    <row r="1" spans="1:24" x14ac:dyDescent="0.25">
      <c r="A1" s="2" t="s">
        <v>0</v>
      </c>
      <c r="B1" t="s">
        <v>1</v>
      </c>
      <c r="C1" s="1" t="s">
        <v>292</v>
      </c>
      <c r="D1" s="1" t="s">
        <v>2</v>
      </c>
      <c r="E1" s="1" t="s">
        <v>446</v>
      </c>
      <c r="F1" s="1" t="s">
        <v>3</v>
      </c>
      <c r="G1" s="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1" t="s">
        <v>10</v>
      </c>
      <c r="N1" s="1" t="s">
        <v>447</v>
      </c>
      <c r="O1" s="1" t="s">
        <v>293</v>
      </c>
      <c r="P1" s="1" t="s">
        <v>11</v>
      </c>
      <c r="Q1" t="s">
        <v>451</v>
      </c>
      <c r="R1" t="s">
        <v>13</v>
      </c>
      <c r="S1" s="3" t="s">
        <v>466</v>
      </c>
      <c r="T1" s="3" t="s">
        <v>445</v>
      </c>
      <c r="U1" t="s">
        <v>448</v>
      </c>
      <c r="V1" t="s">
        <v>449</v>
      </c>
      <c r="W1" t="s">
        <v>450</v>
      </c>
      <c r="X1" t="s">
        <v>12</v>
      </c>
    </row>
    <row r="2" spans="1:24" x14ac:dyDescent="0.25">
      <c r="A2" s="2">
        <v>45880</v>
      </c>
      <c r="B2">
        <f ca="1">NETWORKDAYS.INTL(A3,TODAY(),11)</f>
        <v>474</v>
      </c>
      <c r="C2" s="1">
        <v>6000000</v>
      </c>
      <c r="D2" s="1">
        <v>10000</v>
      </c>
      <c r="E2" s="1">
        <f>D2*6</f>
        <v>60000</v>
      </c>
      <c r="F2" s="1">
        <v>50000</v>
      </c>
      <c r="G2" s="1">
        <f ca="1">B2*D2</f>
        <v>4740000</v>
      </c>
      <c r="H2" t="s">
        <v>295</v>
      </c>
      <c r="I2" t="s">
        <v>14</v>
      </c>
      <c r="J2" t="s">
        <v>15</v>
      </c>
      <c r="K2" t="s">
        <v>16</v>
      </c>
      <c r="L2">
        <v>1000000000</v>
      </c>
      <c r="M2" s="1">
        <v>3111227</v>
      </c>
      <c r="N2" s="1">
        <v>38500</v>
      </c>
      <c r="O2" s="1">
        <f ca="1">G2-M2</f>
        <v>1628773</v>
      </c>
      <c r="P2" s="1">
        <f>C2-M2</f>
        <v>2888773</v>
      </c>
      <c r="Q2" t="str">
        <f ca="1">IF(O2&gt;15000,"Non-compliant","Compliant")</f>
        <v>Non-compliant</v>
      </c>
      <c r="R2" t="s">
        <v>18</v>
      </c>
      <c r="S2" s="3">
        <f>M2/C2</f>
        <v>0.51853783333333336</v>
      </c>
      <c r="T2" s="3">
        <f ca="1">M2/G2</f>
        <v>0.65637700421940925</v>
      </c>
      <c r="U2" s="3">
        <f>N2/E2</f>
        <v>0.64166666666666672</v>
      </c>
      <c r="V2" s="1">
        <f ca="1">O2/D2</f>
        <v>162.87729999999999</v>
      </c>
      <c r="W2" t="str">
        <f ca="1">IF(T2&gt;=0.9,"Good",IF(T2&gt;=0.7,"Needs Monitoring","Poor"))</f>
        <v>Poor</v>
      </c>
      <c r="X2" t="s">
        <v>452</v>
      </c>
    </row>
    <row r="3" spans="1:24" x14ac:dyDescent="0.25">
      <c r="A3" s="2">
        <v>45725</v>
      </c>
      <c r="B3">
        <f t="shared" ref="B3:B66" ca="1" si="0">NETWORKDAYS.INTL(A4,TODAY(),11)</f>
        <v>353</v>
      </c>
      <c r="C3" s="1">
        <v>6000000</v>
      </c>
      <c r="D3" s="1">
        <v>10000</v>
      </c>
      <c r="E3" s="1">
        <f t="shared" ref="E3:E66" si="1">D3*6</f>
        <v>60000</v>
      </c>
      <c r="F3" s="1">
        <v>50000</v>
      </c>
      <c r="G3" s="1">
        <f t="shared" ref="G3:G66" ca="1" si="2">B3*D3</f>
        <v>3530000</v>
      </c>
      <c r="H3" t="s">
        <v>296</v>
      </c>
      <c r="I3" t="s">
        <v>14</v>
      </c>
      <c r="J3" t="s">
        <v>19</v>
      </c>
      <c r="K3" t="s">
        <v>20</v>
      </c>
      <c r="L3">
        <v>1000000001</v>
      </c>
      <c r="M3" s="1">
        <v>3405943</v>
      </c>
      <c r="N3" s="1">
        <v>36000</v>
      </c>
      <c r="O3" s="1">
        <f t="shared" ref="O3:O66" ca="1" si="3">G3-M3</f>
        <v>124057</v>
      </c>
      <c r="P3" s="1">
        <f>C3-M3</f>
        <v>2594057</v>
      </c>
      <c r="Q3" t="str">
        <f t="shared" ref="Q3:Q66" ca="1" si="4">IF(O3&gt;15000,"Non-compliant","Compliant")</f>
        <v>Non-compliant</v>
      </c>
      <c r="R3" t="s">
        <v>18</v>
      </c>
      <c r="S3" s="3">
        <f t="shared" ref="S3:S66" si="5">M3/C3</f>
        <v>0.56765716666666666</v>
      </c>
      <c r="T3" s="3">
        <f ca="1">M3/G3</f>
        <v>0.96485637393767709</v>
      </c>
      <c r="U3" s="3">
        <f t="shared" ref="U3:U66" si="6">N3/E3</f>
        <v>0.6</v>
      </c>
      <c r="V3" s="1">
        <f t="shared" ref="V3:V66" ca="1" si="7">O3/D3</f>
        <v>12.4057</v>
      </c>
      <c r="W3" t="str">
        <f t="shared" ref="W3:W66" ca="1" si="8">IF(T3&gt;=0.9,"Good",IF(T3&gt;=0.7,"Needs Monitoring","Poor"))</f>
        <v>Good</v>
      </c>
      <c r="X3" t="s">
        <v>453</v>
      </c>
    </row>
    <row r="4" spans="1:24" x14ac:dyDescent="0.25">
      <c r="A4" s="2">
        <v>45867</v>
      </c>
      <c r="B4">
        <f t="shared" ca="1" si="0"/>
        <v>461</v>
      </c>
      <c r="C4" s="1">
        <v>6000000</v>
      </c>
      <c r="D4" s="1">
        <v>10000</v>
      </c>
      <c r="E4" s="1">
        <f t="shared" si="1"/>
        <v>60000</v>
      </c>
      <c r="F4" s="1">
        <v>50000</v>
      </c>
      <c r="G4" s="1">
        <f t="shared" ca="1" si="2"/>
        <v>4610000</v>
      </c>
      <c r="H4" t="s">
        <v>297</v>
      </c>
      <c r="I4" t="s">
        <v>142</v>
      </c>
      <c r="J4" t="s">
        <v>21</v>
      </c>
      <c r="K4" t="s">
        <v>22</v>
      </c>
      <c r="L4">
        <v>1000000002</v>
      </c>
      <c r="M4" s="1">
        <v>3656796</v>
      </c>
      <c r="N4" s="1">
        <v>0</v>
      </c>
      <c r="O4" s="1">
        <f t="shared" ca="1" si="3"/>
        <v>953204</v>
      </c>
      <c r="P4" s="1">
        <f>C4-M4</f>
        <v>2343204</v>
      </c>
      <c r="Q4" t="str">
        <f t="shared" ca="1" si="4"/>
        <v>Non-compliant</v>
      </c>
      <c r="R4" t="s">
        <v>18</v>
      </c>
      <c r="S4" s="3">
        <f t="shared" si="5"/>
        <v>0.60946599999999995</v>
      </c>
      <c r="T4" s="3">
        <f ca="1">M4/G4</f>
        <v>0.79323123644251625</v>
      </c>
      <c r="U4" s="3">
        <f t="shared" si="6"/>
        <v>0</v>
      </c>
      <c r="V4" s="1">
        <f t="shared" ca="1" si="7"/>
        <v>95.320400000000006</v>
      </c>
      <c r="W4" t="str">
        <f t="shared" ca="1" si="8"/>
        <v>Needs Monitoring</v>
      </c>
      <c r="X4" t="s">
        <v>452</v>
      </c>
    </row>
    <row r="5" spans="1:24" x14ac:dyDescent="0.25">
      <c r="A5" s="2">
        <v>45741</v>
      </c>
      <c r="B5">
        <f t="shared" ca="1" si="0"/>
        <v>344</v>
      </c>
      <c r="C5" s="1">
        <v>6000000</v>
      </c>
      <c r="D5" s="1">
        <v>10000</v>
      </c>
      <c r="E5" s="1">
        <f t="shared" si="1"/>
        <v>60000</v>
      </c>
      <c r="F5" s="1">
        <v>75000</v>
      </c>
      <c r="G5" s="1">
        <f t="shared" ca="1" si="2"/>
        <v>3440000</v>
      </c>
      <c r="H5" t="s">
        <v>298</v>
      </c>
      <c r="I5" t="s">
        <v>14</v>
      </c>
      <c r="J5" t="s">
        <v>23</v>
      </c>
      <c r="K5" t="s">
        <v>24</v>
      </c>
      <c r="L5">
        <v>1000000003</v>
      </c>
      <c r="M5" s="1">
        <v>2946949</v>
      </c>
      <c r="N5" s="1">
        <v>70000</v>
      </c>
      <c r="O5" s="1">
        <f t="shared" ca="1" si="3"/>
        <v>493051</v>
      </c>
      <c r="P5" s="1">
        <f>C5-M5</f>
        <v>3053051</v>
      </c>
      <c r="Q5" t="str">
        <f t="shared" ca="1" si="4"/>
        <v>Non-compliant</v>
      </c>
      <c r="R5" t="s">
        <v>18</v>
      </c>
      <c r="S5" s="3">
        <f t="shared" si="5"/>
        <v>0.49115816666666667</v>
      </c>
      <c r="T5" s="3">
        <f ca="1">M5/G5</f>
        <v>0.85667122093023251</v>
      </c>
      <c r="U5" s="3">
        <f t="shared" si="6"/>
        <v>1.1666666666666667</v>
      </c>
      <c r="V5" s="1">
        <f t="shared" ca="1" si="7"/>
        <v>49.305100000000003</v>
      </c>
      <c r="W5" t="str">
        <f t="shared" ca="1" si="8"/>
        <v>Needs Monitoring</v>
      </c>
      <c r="X5" t="s">
        <v>452</v>
      </c>
    </row>
    <row r="6" spans="1:24" x14ac:dyDescent="0.25">
      <c r="A6" s="2">
        <v>45877</v>
      </c>
      <c r="B6">
        <f t="shared" ca="1" si="0"/>
        <v>382</v>
      </c>
      <c r="C6" s="1">
        <v>6000000</v>
      </c>
      <c r="D6" s="1">
        <v>10000</v>
      </c>
      <c r="E6" s="1">
        <f t="shared" si="1"/>
        <v>60000</v>
      </c>
      <c r="F6" s="1">
        <v>100000</v>
      </c>
      <c r="G6" s="1">
        <f t="shared" ca="1" si="2"/>
        <v>3820000</v>
      </c>
      <c r="H6" t="s">
        <v>299</v>
      </c>
      <c r="I6" t="s">
        <v>14</v>
      </c>
      <c r="J6" t="s">
        <v>25</v>
      </c>
      <c r="K6" t="s">
        <v>26</v>
      </c>
      <c r="L6">
        <v>1000000004</v>
      </c>
      <c r="M6" s="1">
        <v>3454652</v>
      </c>
      <c r="N6" s="1">
        <v>36500</v>
      </c>
      <c r="O6" s="1">
        <f t="shared" ca="1" si="3"/>
        <v>365348</v>
      </c>
      <c r="P6" s="1">
        <f>C6-M6</f>
        <v>2545348</v>
      </c>
      <c r="Q6" t="str">
        <f t="shared" ca="1" si="4"/>
        <v>Non-compliant</v>
      </c>
      <c r="R6" t="s">
        <v>18</v>
      </c>
      <c r="S6" s="3">
        <f t="shared" si="5"/>
        <v>0.57577533333333331</v>
      </c>
      <c r="T6" s="3">
        <f ca="1">M6/G6</f>
        <v>0.90435916230366498</v>
      </c>
      <c r="U6" s="3">
        <f t="shared" si="6"/>
        <v>0.60833333333333328</v>
      </c>
      <c r="V6" s="1">
        <f t="shared" ca="1" si="7"/>
        <v>36.534799999999997</v>
      </c>
      <c r="W6" t="str">
        <f t="shared" ca="1" si="8"/>
        <v>Good</v>
      </c>
      <c r="X6" t="s">
        <v>453</v>
      </c>
    </row>
    <row r="7" spans="1:24" x14ac:dyDescent="0.25">
      <c r="A7" s="2">
        <v>45833</v>
      </c>
      <c r="B7">
        <f t="shared" ca="1" si="0"/>
        <v>446</v>
      </c>
      <c r="C7" s="1">
        <v>6000000</v>
      </c>
      <c r="D7" s="1">
        <v>10000</v>
      </c>
      <c r="E7" s="1">
        <f t="shared" si="1"/>
        <v>60000</v>
      </c>
      <c r="F7" s="1">
        <v>50000</v>
      </c>
      <c r="G7" s="1">
        <f t="shared" ca="1" si="2"/>
        <v>4460000</v>
      </c>
      <c r="H7" t="s">
        <v>300</v>
      </c>
      <c r="I7" t="s">
        <v>14</v>
      </c>
      <c r="J7" t="s">
        <v>27</v>
      </c>
      <c r="K7" t="s">
        <v>28</v>
      </c>
      <c r="L7">
        <v>1000000005</v>
      </c>
      <c r="M7" s="1">
        <v>3837891</v>
      </c>
      <c r="N7" s="1">
        <v>41500</v>
      </c>
      <c r="O7" s="1">
        <f t="shared" ca="1" si="3"/>
        <v>622109</v>
      </c>
      <c r="P7" s="1">
        <f>C7-M7</f>
        <v>2162109</v>
      </c>
      <c r="Q7" t="str">
        <f t="shared" ca="1" si="4"/>
        <v>Non-compliant</v>
      </c>
      <c r="R7" t="s">
        <v>18</v>
      </c>
      <c r="S7" s="3">
        <f t="shared" si="5"/>
        <v>0.63964849999999995</v>
      </c>
      <c r="T7" s="3">
        <f ca="1">M7/G7</f>
        <v>0.8605136771300449</v>
      </c>
      <c r="U7" s="3">
        <f t="shared" si="6"/>
        <v>0.69166666666666665</v>
      </c>
      <c r="V7" s="1">
        <f t="shared" ca="1" si="7"/>
        <v>62.210900000000002</v>
      </c>
      <c r="W7" t="str">
        <f t="shared" ca="1" si="8"/>
        <v>Needs Monitoring</v>
      </c>
      <c r="X7" t="s">
        <v>452</v>
      </c>
    </row>
    <row r="8" spans="1:24" x14ac:dyDescent="0.25">
      <c r="A8" s="2">
        <v>45758</v>
      </c>
      <c r="B8">
        <f t="shared" ca="1" si="0"/>
        <v>468</v>
      </c>
      <c r="C8" s="1">
        <v>6000000</v>
      </c>
      <c r="D8" s="1">
        <v>11000</v>
      </c>
      <c r="E8" s="1">
        <f t="shared" si="1"/>
        <v>66000</v>
      </c>
      <c r="F8" s="1">
        <v>75000</v>
      </c>
      <c r="G8" s="1">
        <f t="shared" ca="1" si="2"/>
        <v>5148000</v>
      </c>
      <c r="H8" t="s">
        <v>301</v>
      </c>
      <c r="I8" t="s">
        <v>14</v>
      </c>
      <c r="J8" t="s">
        <v>29</v>
      </c>
      <c r="K8" t="s">
        <v>30</v>
      </c>
      <c r="L8">
        <v>1000000006</v>
      </c>
      <c r="M8" s="1">
        <v>5418043</v>
      </c>
      <c r="N8" s="1">
        <v>44000</v>
      </c>
      <c r="O8" s="1">
        <f t="shared" ca="1" si="3"/>
        <v>-270043</v>
      </c>
      <c r="P8" s="1">
        <f>C8-M8</f>
        <v>581957</v>
      </c>
      <c r="Q8" t="str">
        <f t="shared" ca="1" si="4"/>
        <v>Compliant</v>
      </c>
      <c r="R8" t="s">
        <v>18</v>
      </c>
      <c r="S8" s="3">
        <f t="shared" si="5"/>
        <v>0.90300716666666669</v>
      </c>
      <c r="T8" s="3">
        <f ca="1">M8/G8</f>
        <v>1.0524559052059053</v>
      </c>
      <c r="U8" s="3">
        <f t="shared" si="6"/>
        <v>0.66666666666666663</v>
      </c>
      <c r="V8" s="1">
        <f t="shared" ca="1" si="7"/>
        <v>-24.549363636363637</v>
      </c>
      <c r="W8" t="str">
        <f t="shared" ca="1" si="8"/>
        <v>Good</v>
      </c>
      <c r="X8" t="s">
        <v>453</v>
      </c>
    </row>
    <row r="9" spans="1:24" x14ac:dyDescent="0.25">
      <c r="A9" s="2">
        <v>45733</v>
      </c>
      <c r="B9">
        <f t="shared" ca="1" si="0"/>
        <v>359</v>
      </c>
      <c r="C9" s="1">
        <v>6000000</v>
      </c>
      <c r="D9" s="1">
        <v>9000</v>
      </c>
      <c r="E9" s="1">
        <f t="shared" si="1"/>
        <v>54000</v>
      </c>
      <c r="F9" s="1">
        <v>100000</v>
      </c>
      <c r="G9" s="1">
        <f t="shared" ca="1" si="2"/>
        <v>3231000</v>
      </c>
      <c r="H9" t="s">
        <v>302</v>
      </c>
      <c r="I9" t="s">
        <v>142</v>
      </c>
      <c r="J9" t="s">
        <v>31</v>
      </c>
      <c r="K9" t="s">
        <v>32</v>
      </c>
      <c r="L9">
        <v>1000000007</v>
      </c>
      <c r="M9" s="1">
        <v>3490896</v>
      </c>
      <c r="N9" s="1">
        <v>0</v>
      </c>
      <c r="O9" s="1">
        <f t="shared" ca="1" si="3"/>
        <v>-259896</v>
      </c>
      <c r="P9" s="1">
        <f>C9-M9</f>
        <v>2509104</v>
      </c>
      <c r="Q9" t="str">
        <f t="shared" ca="1" si="4"/>
        <v>Compliant</v>
      </c>
      <c r="R9" t="s">
        <v>18</v>
      </c>
      <c r="S9" s="3">
        <f t="shared" si="5"/>
        <v>0.581816</v>
      </c>
      <c r="T9" s="3">
        <f ca="1">M9/G9</f>
        <v>1.0804382544103992</v>
      </c>
      <c r="U9" s="3">
        <f t="shared" si="6"/>
        <v>0</v>
      </c>
      <c r="V9" s="1">
        <f t="shared" ca="1" si="7"/>
        <v>-28.877333333333333</v>
      </c>
      <c r="W9" t="str">
        <f t="shared" ca="1" si="8"/>
        <v>Good</v>
      </c>
      <c r="X9" t="s">
        <v>453</v>
      </c>
    </row>
    <row r="10" spans="1:24" x14ac:dyDescent="0.25">
      <c r="A10" s="2">
        <v>45860</v>
      </c>
      <c r="B10">
        <f t="shared" ca="1" si="0"/>
        <v>344</v>
      </c>
      <c r="C10" s="1">
        <v>6000000</v>
      </c>
      <c r="D10" s="1">
        <v>10000</v>
      </c>
      <c r="E10" s="1">
        <f t="shared" si="1"/>
        <v>60000</v>
      </c>
      <c r="F10" s="1">
        <v>100000</v>
      </c>
      <c r="G10" s="1">
        <f t="shared" ca="1" si="2"/>
        <v>3440000</v>
      </c>
      <c r="H10" t="s">
        <v>303</v>
      </c>
      <c r="I10" t="s">
        <v>14</v>
      </c>
      <c r="J10" t="s">
        <v>33</v>
      </c>
      <c r="K10" t="s">
        <v>34</v>
      </c>
      <c r="L10">
        <v>1000000008</v>
      </c>
      <c r="M10" s="1">
        <v>3329579</v>
      </c>
      <c r="N10" s="1">
        <v>57500</v>
      </c>
      <c r="O10" s="1">
        <f t="shared" ca="1" si="3"/>
        <v>110421</v>
      </c>
      <c r="P10" s="1">
        <f>C10-M10</f>
        <v>2670421</v>
      </c>
      <c r="Q10" t="str">
        <f t="shared" ca="1" si="4"/>
        <v>Non-compliant</v>
      </c>
      <c r="R10" t="s">
        <v>18</v>
      </c>
      <c r="S10" s="3">
        <f t="shared" si="5"/>
        <v>0.55492983333333334</v>
      </c>
      <c r="T10" s="3">
        <f ca="1">M10/G10</f>
        <v>0.96790087209302322</v>
      </c>
      <c r="U10" s="3">
        <f t="shared" si="6"/>
        <v>0.95833333333333337</v>
      </c>
      <c r="V10" s="1">
        <f t="shared" ca="1" si="7"/>
        <v>11.0421</v>
      </c>
      <c r="W10" t="str">
        <f t="shared" ca="1" si="8"/>
        <v>Good</v>
      </c>
      <c r="X10" t="s">
        <v>452</v>
      </c>
    </row>
    <row r="11" spans="1:24" x14ac:dyDescent="0.25">
      <c r="A11" s="2">
        <v>45877</v>
      </c>
      <c r="B11">
        <f t="shared" ca="1" si="0"/>
        <v>456</v>
      </c>
      <c r="C11" s="1">
        <v>6000000</v>
      </c>
      <c r="D11" s="1">
        <v>9000</v>
      </c>
      <c r="E11" s="1">
        <f t="shared" si="1"/>
        <v>54000</v>
      </c>
      <c r="F11" s="1">
        <v>100000</v>
      </c>
      <c r="G11" s="1">
        <f t="shared" ca="1" si="2"/>
        <v>4104000</v>
      </c>
      <c r="H11" t="s">
        <v>304</v>
      </c>
      <c r="I11" t="s">
        <v>14</v>
      </c>
      <c r="J11" t="s">
        <v>35</v>
      </c>
      <c r="K11" t="s">
        <v>36</v>
      </c>
      <c r="L11">
        <v>1000000009</v>
      </c>
      <c r="M11" s="1">
        <v>2919733</v>
      </c>
      <c r="N11" s="1">
        <v>37500</v>
      </c>
      <c r="O11" s="1">
        <f t="shared" ca="1" si="3"/>
        <v>1184267</v>
      </c>
      <c r="P11" s="1">
        <f>C11-M11</f>
        <v>3080267</v>
      </c>
      <c r="Q11" t="str">
        <f t="shared" ca="1" si="4"/>
        <v>Non-compliant</v>
      </c>
      <c r="R11" t="s">
        <v>18</v>
      </c>
      <c r="S11" s="3">
        <f t="shared" si="5"/>
        <v>0.48662216666666669</v>
      </c>
      <c r="T11" s="3">
        <f ca="1">M11/G11</f>
        <v>0.71143591617933721</v>
      </c>
      <c r="U11" s="3">
        <f t="shared" si="6"/>
        <v>0.69444444444444442</v>
      </c>
      <c r="V11" s="1">
        <f t="shared" ca="1" si="7"/>
        <v>131.58522222222223</v>
      </c>
      <c r="W11" t="str">
        <f t="shared" ca="1" si="8"/>
        <v>Needs Monitoring</v>
      </c>
      <c r="X11" t="s">
        <v>452</v>
      </c>
    </row>
    <row r="12" spans="1:24" x14ac:dyDescent="0.25">
      <c r="A12" s="2">
        <v>45746</v>
      </c>
      <c r="B12">
        <f t="shared" ca="1" si="0"/>
        <v>371</v>
      </c>
      <c r="C12" s="1">
        <v>6000000</v>
      </c>
      <c r="D12" s="1">
        <v>10000</v>
      </c>
      <c r="E12" s="1">
        <f t="shared" si="1"/>
        <v>60000</v>
      </c>
      <c r="F12" s="1">
        <v>100000</v>
      </c>
      <c r="G12" s="1">
        <f t="shared" ca="1" si="2"/>
        <v>3710000</v>
      </c>
      <c r="H12" t="s">
        <v>305</v>
      </c>
      <c r="I12" t="s">
        <v>14</v>
      </c>
      <c r="J12" t="s">
        <v>37</v>
      </c>
      <c r="K12" t="s">
        <v>38</v>
      </c>
      <c r="L12">
        <v>1000000010</v>
      </c>
      <c r="M12" s="1">
        <v>5819111</v>
      </c>
      <c r="N12" s="1">
        <v>54000</v>
      </c>
      <c r="O12" s="1">
        <f t="shared" ca="1" si="3"/>
        <v>-2109111</v>
      </c>
      <c r="P12" s="1">
        <f>C12-M12</f>
        <v>180889</v>
      </c>
      <c r="Q12" t="str">
        <f t="shared" ca="1" si="4"/>
        <v>Compliant</v>
      </c>
      <c r="R12" t="s">
        <v>18</v>
      </c>
      <c r="S12" s="3">
        <f t="shared" si="5"/>
        <v>0.96985183333333336</v>
      </c>
      <c r="T12" s="3">
        <f ca="1">M12/G12</f>
        <v>1.5684935309973045</v>
      </c>
      <c r="U12" s="3">
        <f t="shared" si="6"/>
        <v>0.9</v>
      </c>
      <c r="V12" s="1">
        <f t="shared" ca="1" si="7"/>
        <v>-210.9111</v>
      </c>
      <c r="W12" t="str">
        <f t="shared" ca="1" si="8"/>
        <v>Good</v>
      </c>
      <c r="X12" t="s">
        <v>453</v>
      </c>
    </row>
    <row r="13" spans="1:24" x14ac:dyDescent="0.25">
      <c r="A13" s="2">
        <v>45846</v>
      </c>
      <c r="B13">
        <f t="shared" ca="1" si="0"/>
        <v>411</v>
      </c>
      <c r="C13" s="1">
        <v>6000000</v>
      </c>
      <c r="D13" s="1">
        <v>10000</v>
      </c>
      <c r="E13" s="1">
        <f t="shared" si="1"/>
        <v>60000</v>
      </c>
      <c r="F13" s="1">
        <v>100000</v>
      </c>
      <c r="G13" s="1">
        <f t="shared" ca="1" si="2"/>
        <v>4110000</v>
      </c>
      <c r="H13" t="s">
        <v>306</v>
      </c>
      <c r="I13" t="s">
        <v>14</v>
      </c>
      <c r="J13" t="s">
        <v>39</v>
      </c>
      <c r="K13" t="s">
        <v>40</v>
      </c>
      <c r="L13">
        <v>1000000011</v>
      </c>
      <c r="M13" s="1">
        <v>3200100</v>
      </c>
      <c r="N13" s="1">
        <v>32500</v>
      </c>
      <c r="O13" s="1">
        <f t="shared" ca="1" si="3"/>
        <v>909900</v>
      </c>
      <c r="P13" s="1">
        <f>C13-M13</f>
        <v>2799900</v>
      </c>
      <c r="Q13" t="str">
        <f t="shared" ca="1" si="4"/>
        <v>Non-compliant</v>
      </c>
      <c r="R13" t="s">
        <v>18</v>
      </c>
      <c r="S13" s="3">
        <f t="shared" si="5"/>
        <v>0.53334999999999999</v>
      </c>
      <c r="T13" s="3">
        <f ca="1">M13/G13</f>
        <v>0.77861313868613136</v>
      </c>
      <c r="U13" s="3">
        <f t="shared" si="6"/>
        <v>0.54166666666666663</v>
      </c>
      <c r="V13" s="1">
        <f t="shared" ca="1" si="7"/>
        <v>90.99</v>
      </c>
      <c r="W13" t="str">
        <f t="shared" ca="1" si="8"/>
        <v>Needs Monitoring</v>
      </c>
      <c r="X13" t="s">
        <v>452</v>
      </c>
    </row>
    <row r="14" spans="1:24" x14ac:dyDescent="0.25">
      <c r="A14" s="2">
        <v>45799</v>
      </c>
      <c r="B14">
        <f t="shared" ca="1" si="0"/>
        <v>375</v>
      </c>
      <c r="C14" s="1">
        <v>6000000</v>
      </c>
      <c r="D14" s="1">
        <v>11000</v>
      </c>
      <c r="E14" s="1">
        <f t="shared" si="1"/>
        <v>66000</v>
      </c>
      <c r="F14" s="1">
        <v>50000</v>
      </c>
      <c r="G14" s="1">
        <f t="shared" ca="1" si="2"/>
        <v>4125000</v>
      </c>
      <c r="H14" t="s">
        <v>307</v>
      </c>
      <c r="I14" t="s">
        <v>142</v>
      </c>
      <c r="J14" t="s">
        <v>41</v>
      </c>
      <c r="K14" t="s">
        <v>42</v>
      </c>
      <c r="L14">
        <v>1000000012</v>
      </c>
      <c r="M14" s="1">
        <v>4493876</v>
      </c>
      <c r="N14" s="1">
        <v>28500</v>
      </c>
      <c r="O14" s="1">
        <f t="shared" ca="1" si="3"/>
        <v>-368876</v>
      </c>
      <c r="P14" s="1">
        <f>C14-M14</f>
        <v>1506124</v>
      </c>
      <c r="Q14" t="str">
        <f t="shared" ca="1" si="4"/>
        <v>Compliant</v>
      </c>
      <c r="R14" t="s">
        <v>18</v>
      </c>
      <c r="S14" s="3">
        <f t="shared" si="5"/>
        <v>0.74897933333333333</v>
      </c>
      <c r="T14" s="3">
        <f ca="1">M14/G14</f>
        <v>1.0894244848484849</v>
      </c>
      <c r="U14" s="3">
        <f t="shared" si="6"/>
        <v>0.43181818181818182</v>
      </c>
      <c r="V14" s="1">
        <f t="shared" ca="1" si="7"/>
        <v>-33.534181818181821</v>
      </c>
      <c r="W14" t="str">
        <f t="shared" ca="1" si="8"/>
        <v>Good</v>
      </c>
      <c r="X14" t="s">
        <v>453</v>
      </c>
    </row>
    <row r="15" spans="1:24" x14ac:dyDescent="0.25">
      <c r="A15" s="2">
        <v>45841</v>
      </c>
      <c r="B15">
        <f t="shared" ca="1" si="0"/>
        <v>335</v>
      </c>
      <c r="C15" s="1">
        <v>6000000</v>
      </c>
      <c r="D15" s="1">
        <v>10000</v>
      </c>
      <c r="E15" s="1">
        <f t="shared" si="1"/>
        <v>60000</v>
      </c>
      <c r="F15" s="1">
        <v>100000</v>
      </c>
      <c r="G15" s="1">
        <f t="shared" ca="1" si="2"/>
        <v>3350000</v>
      </c>
      <c r="H15" t="s">
        <v>308</v>
      </c>
      <c r="I15" t="s">
        <v>142</v>
      </c>
      <c r="J15" t="s">
        <v>43</v>
      </c>
      <c r="K15" t="s">
        <v>44</v>
      </c>
      <c r="L15">
        <v>1000000013</v>
      </c>
      <c r="M15" s="1">
        <v>2727200</v>
      </c>
      <c r="N15" s="1">
        <v>0</v>
      </c>
      <c r="O15" s="1">
        <f t="shared" ca="1" si="3"/>
        <v>622800</v>
      </c>
      <c r="P15" s="1">
        <f>C15-M15</f>
        <v>3272800</v>
      </c>
      <c r="Q15" t="str">
        <f t="shared" ca="1" si="4"/>
        <v>Non-compliant</v>
      </c>
      <c r="R15" t="s">
        <v>18</v>
      </c>
      <c r="S15" s="3">
        <f t="shared" si="5"/>
        <v>0.45453333333333334</v>
      </c>
      <c r="T15" s="3">
        <f ca="1">M15/G15</f>
        <v>0.81408955223880597</v>
      </c>
      <c r="U15" s="3">
        <f t="shared" si="6"/>
        <v>0</v>
      </c>
      <c r="V15" s="1">
        <f t="shared" ca="1" si="7"/>
        <v>62.28</v>
      </c>
      <c r="W15" t="str">
        <f t="shared" ca="1" si="8"/>
        <v>Needs Monitoring</v>
      </c>
      <c r="X15" t="s">
        <v>452</v>
      </c>
    </row>
    <row r="16" spans="1:24" x14ac:dyDescent="0.25">
      <c r="A16" s="2">
        <v>45888</v>
      </c>
      <c r="B16">
        <f t="shared" ca="1" si="0"/>
        <v>353</v>
      </c>
      <c r="C16" s="1">
        <v>6000000</v>
      </c>
      <c r="D16" s="1">
        <v>10000</v>
      </c>
      <c r="E16" s="1">
        <f t="shared" si="1"/>
        <v>60000</v>
      </c>
      <c r="F16" s="1">
        <v>75000</v>
      </c>
      <c r="G16" s="1">
        <f t="shared" ca="1" si="2"/>
        <v>3530000</v>
      </c>
      <c r="H16" t="s">
        <v>309</v>
      </c>
      <c r="I16" t="s">
        <v>14</v>
      </c>
      <c r="J16" t="s">
        <v>45</v>
      </c>
      <c r="K16" t="s">
        <v>46</v>
      </c>
      <c r="L16">
        <v>1000000014</v>
      </c>
      <c r="M16" s="1">
        <v>3298421</v>
      </c>
      <c r="N16" s="1">
        <v>57500</v>
      </c>
      <c r="O16" s="1">
        <f t="shared" ca="1" si="3"/>
        <v>231579</v>
      </c>
      <c r="P16" s="1">
        <f>C16-M16</f>
        <v>2701579</v>
      </c>
      <c r="Q16" t="str">
        <f t="shared" ca="1" si="4"/>
        <v>Non-compliant</v>
      </c>
      <c r="R16" t="s">
        <v>18</v>
      </c>
      <c r="S16" s="3">
        <f t="shared" si="5"/>
        <v>0.54973683333333334</v>
      </c>
      <c r="T16" s="3">
        <f ca="1">M16/G16</f>
        <v>0.93439688385269126</v>
      </c>
      <c r="U16" s="3">
        <f t="shared" si="6"/>
        <v>0.95833333333333337</v>
      </c>
      <c r="V16" s="1">
        <f t="shared" ca="1" si="7"/>
        <v>23.157900000000001</v>
      </c>
      <c r="W16" t="str">
        <f t="shared" ca="1" si="8"/>
        <v>Good</v>
      </c>
      <c r="X16" t="s">
        <v>452</v>
      </c>
    </row>
    <row r="17" spans="1:24" x14ac:dyDescent="0.25">
      <c r="A17" s="2">
        <v>45867</v>
      </c>
      <c r="B17">
        <f t="shared" ca="1" si="0"/>
        <v>420</v>
      </c>
      <c r="C17" s="1">
        <v>6000000</v>
      </c>
      <c r="D17" s="1">
        <v>9000</v>
      </c>
      <c r="E17" s="1">
        <f t="shared" si="1"/>
        <v>54000</v>
      </c>
      <c r="F17" s="1">
        <v>50000</v>
      </c>
      <c r="G17" s="1">
        <f t="shared" ca="1" si="2"/>
        <v>3780000</v>
      </c>
      <c r="H17" t="s">
        <v>310</v>
      </c>
      <c r="I17" t="s">
        <v>14</v>
      </c>
      <c r="J17" t="s">
        <v>47</v>
      </c>
      <c r="K17" t="s">
        <v>48</v>
      </c>
      <c r="L17">
        <v>1000000015</v>
      </c>
      <c r="M17" s="1">
        <v>3128364</v>
      </c>
      <c r="N17" s="1">
        <v>27000</v>
      </c>
      <c r="O17" s="1">
        <f t="shared" ca="1" si="3"/>
        <v>651636</v>
      </c>
      <c r="P17" s="1">
        <f>C17-M17</f>
        <v>2871636</v>
      </c>
      <c r="Q17" t="str">
        <f t="shared" ca="1" si="4"/>
        <v>Non-compliant</v>
      </c>
      <c r="R17" t="s">
        <v>18</v>
      </c>
      <c r="S17" s="3">
        <f t="shared" si="5"/>
        <v>0.52139400000000002</v>
      </c>
      <c r="T17" s="3">
        <f ca="1">M17/G17</f>
        <v>0.82760952380952379</v>
      </c>
      <c r="U17" s="3">
        <f t="shared" si="6"/>
        <v>0.5</v>
      </c>
      <c r="V17" s="1">
        <f t="shared" ca="1" si="7"/>
        <v>72.403999999999996</v>
      </c>
      <c r="W17" t="str">
        <f t="shared" ca="1" si="8"/>
        <v>Needs Monitoring</v>
      </c>
      <c r="X17" t="s">
        <v>453</v>
      </c>
    </row>
    <row r="18" spans="1:24" x14ac:dyDescent="0.25">
      <c r="A18" s="2">
        <v>45788</v>
      </c>
      <c r="B18">
        <f t="shared" ca="1" si="0"/>
        <v>337</v>
      </c>
      <c r="C18" s="1">
        <v>6000000</v>
      </c>
      <c r="D18" s="1">
        <v>11000</v>
      </c>
      <c r="E18" s="1">
        <f t="shared" si="1"/>
        <v>66000</v>
      </c>
      <c r="F18" s="1">
        <v>50000</v>
      </c>
      <c r="G18" s="1">
        <f t="shared" ca="1" si="2"/>
        <v>3707000</v>
      </c>
      <c r="H18" t="s">
        <v>311</v>
      </c>
      <c r="I18" t="s">
        <v>14</v>
      </c>
      <c r="J18" t="s">
        <v>49</v>
      </c>
      <c r="K18" t="s">
        <v>50</v>
      </c>
      <c r="L18">
        <v>1000000016</v>
      </c>
      <c r="M18" s="1">
        <v>4939967</v>
      </c>
      <c r="N18" s="1">
        <v>64000</v>
      </c>
      <c r="O18" s="1">
        <f t="shared" ca="1" si="3"/>
        <v>-1232967</v>
      </c>
      <c r="P18" s="1">
        <f>C18-M18</f>
        <v>1060033</v>
      </c>
      <c r="Q18" t="str">
        <f t="shared" ca="1" si="4"/>
        <v>Compliant</v>
      </c>
      <c r="R18" t="s">
        <v>18</v>
      </c>
      <c r="S18" s="3">
        <f t="shared" si="5"/>
        <v>0.82332783333333337</v>
      </c>
      <c r="T18" s="3">
        <f ca="1">M18/G18</f>
        <v>1.3326050714863771</v>
      </c>
      <c r="U18" s="3">
        <f t="shared" si="6"/>
        <v>0.96969696969696972</v>
      </c>
      <c r="V18" s="1">
        <f t="shared" ca="1" si="7"/>
        <v>-112.08790909090909</v>
      </c>
      <c r="W18" t="str">
        <f t="shared" ca="1" si="8"/>
        <v>Good</v>
      </c>
      <c r="X18" t="s">
        <v>452</v>
      </c>
    </row>
    <row r="19" spans="1:24" x14ac:dyDescent="0.25">
      <c r="A19" s="2">
        <v>45885</v>
      </c>
      <c r="B19">
        <f t="shared" ca="1" si="0"/>
        <v>440</v>
      </c>
      <c r="C19" s="1">
        <v>6000000</v>
      </c>
      <c r="D19" s="1">
        <v>11000</v>
      </c>
      <c r="E19" s="1">
        <f t="shared" si="1"/>
        <v>66000</v>
      </c>
      <c r="F19" s="1">
        <v>75000</v>
      </c>
      <c r="G19" s="1">
        <f t="shared" ca="1" si="2"/>
        <v>4840000</v>
      </c>
      <c r="H19" t="s">
        <v>312</v>
      </c>
      <c r="I19" t="s">
        <v>14</v>
      </c>
      <c r="J19" t="s">
        <v>51</v>
      </c>
      <c r="K19" t="s">
        <v>22</v>
      </c>
      <c r="L19">
        <v>1000000017</v>
      </c>
      <c r="M19" s="1">
        <v>4392657</v>
      </c>
      <c r="N19" s="1">
        <v>61000</v>
      </c>
      <c r="O19" s="1">
        <f t="shared" ca="1" si="3"/>
        <v>447343</v>
      </c>
      <c r="P19" s="1">
        <f>C19-M19</f>
        <v>1607343</v>
      </c>
      <c r="Q19" t="str">
        <f t="shared" ca="1" si="4"/>
        <v>Non-compliant</v>
      </c>
      <c r="R19" t="s">
        <v>18</v>
      </c>
      <c r="S19" s="3">
        <f t="shared" si="5"/>
        <v>0.73210949999999997</v>
      </c>
      <c r="T19" s="3">
        <f ca="1">M19/G19</f>
        <v>0.90757376033057846</v>
      </c>
      <c r="U19" s="3">
        <f t="shared" si="6"/>
        <v>0.9242424242424242</v>
      </c>
      <c r="V19" s="1">
        <f t="shared" ca="1" si="7"/>
        <v>40.667545454545454</v>
      </c>
      <c r="W19" t="str">
        <f t="shared" ca="1" si="8"/>
        <v>Good</v>
      </c>
      <c r="X19" t="s">
        <v>453</v>
      </c>
    </row>
    <row r="20" spans="1:24" x14ac:dyDescent="0.25">
      <c r="A20" s="2">
        <v>45765</v>
      </c>
      <c r="B20">
        <f t="shared" ca="1" si="0"/>
        <v>363</v>
      </c>
      <c r="C20" s="1">
        <v>6000000</v>
      </c>
      <c r="D20" s="1">
        <v>11000</v>
      </c>
      <c r="E20" s="1">
        <f t="shared" si="1"/>
        <v>66000</v>
      </c>
      <c r="F20" s="1">
        <v>50000</v>
      </c>
      <c r="G20" s="1">
        <f t="shared" ca="1" si="2"/>
        <v>3993000</v>
      </c>
      <c r="H20" t="s">
        <v>313</v>
      </c>
      <c r="I20" t="s">
        <v>14</v>
      </c>
      <c r="J20" t="s">
        <v>52</v>
      </c>
      <c r="K20" t="s">
        <v>53</v>
      </c>
      <c r="L20">
        <v>1000000018</v>
      </c>
      <c r="M20" s="1">
        <v>5322598</v>
      </c>
      <c r="N20" s="1">
        <v>52000</v>
      </c>
      <c r="O20" s="1">
        <f t="shared" ca="1" si="3"/>
        <v>-1329598</v>
      </c>
      <c r="P20" s="1">
        <f>C20-M20</f>
        <v>677402</v>
      </c>
      <c r="Q20" t="str">
        <f t="shared" ca="1" si="4"/>
        <v>Compliant</v>
      </c>
      <c r="R20" t="s">
        <v>18</v>
      </c>
      <c r="S20" s="3">
        <f t="shared" si="5"/>
        <v>0.88709966666666662</v>
      </c>
      <c r="T20" s="3">
        <f ca="1">M20/G20</f>
        <v>1.3329822188830454</v>
      </c>
      <c r="U20" s="3">
        <f t="shared" si="6"/>
        <v>0.78787878787878785</v>
      </c>
      <c r="V20" s="1">
        <f t="shared" ca="1" si="7"/>
        <v>-120.87254545454546</v>
      </c>
      <c r="W20" t="str">
        <f t="shared" ca="1" si="8"/>
        <v>Good</v>
      </c>
      <c r="X20" t="s">
        <v>453</v>
      </c>
    </row>
    <row r="21" spans="1:24" x14ac:dyDescent="0.25">
      <c r="A21" s="2">
        <v>45855</v>
      </c>
      <c r="B21">
        <f t="shared" ca="1" si="0"/>
        <v>481</v>
      </c>
      <c r="C21" s="1">
        <v>6000000</v>
      </c>
      <c r="D21" s="1">
        <v>10000</v>
      </c>
      <c r="E21" s="1">
        <f t="shared" si="1"/>
        <v>60000</v>
      </c>
      <c r="F21" s="1">
        <v>50000</v>
      </c>
      <c r="G21" s="1">
        <f t="shared" ca="1" si="2"/>
        <v>4810000</v>
      </c>
      <c r="H21" t="s">
        <v>314</v>
      </c>
      <c r="I21" t="s">
        <v>142</v>
      </c>
      <c r="J21" t="s">
        <v>54</v>
      </c>
      <c r="K21" t="s">
        <v>55</v>
      </c>
      <c r="L21">
        <v>1000000019</v>
      </c>
      <c r="M21" s="1">
        <v>2567845</v>
      </c>
      <c r="N21" s="1">
        <v>0</v>
      </c>
      <c r="O21" s="1">
        <f t="shared" ca="1" si="3"/>
        <v>2242155</v>
      </c>
      <c r="P21" s="1">
        <f>C21-M21</f>
        <v>3432155</v>
      </c>
      <c r="Q21" t="str">
        <f t="shared" ca="1" si="4"/>
        <v>Non-compliant</v>
      </c>
      <c r="R21" t="s">
        <v>18</v>
      </c>
      <c r="S21" s="3">
        <f t="shared" si="5"/>
        <v>0.42797416666666666</v>
      </c>
      <c r="T21" s="3">
        <f ca="1">M21/G21</f>
        <v>0.53385550935550941</v>
      </c>
      <c r="U21" s="3">
        <f t="shared" si="6"/>
        <v>0</v>
      </c>
      <c r="V21" s="1">
        <f t="shared" ca="1" si="7"/>
        <v>224.21549999999999</v>
      </c>
      <c r="W21" t="str">
        <f t="shared" ca="1" si="8"/>
        <v>Poor</v>
      </c>
      <c r="X21" t="s">
        <v>452</v>
      </c>
    </row>
    <row r="22" spans="1:24" x14ac:dyDescent="0.25">
      <c r="A22" s="2">
        <v>45717</v>
      </c>
      <c r="B22">
        <f t="shared" ca="1" si="0"/>
        <v>413</v>
      </c>
      <c r="C22" s="1">
        <v>6000000</v>
      </c>
      <c r="D22" s="1">
        <v>11000</v>
      </c>
      <c r="E22" s="1">
        <f t="shared" si="1"/>
        <v>66000</v>
      </c>
      <c r="F22" s="1">
        <v>75000</v>
      </c>
      <c r="G22" s="1">
        <f t="shared" ca="1" si="2"/>
        <v>4543000</v>
      </c>
      <c r="H22" t="s">
        <v>315</v>
      </c>
      <c r="I22" t="s">
        <v>14</v>
      </c>
      <c r="J22" t="s">
        <v>56</v>
      </c>
      <c r="K22" t="s">
        <v>57</v>
      </c>
      <c r="L22">
        <v>1000000020</v>
      </c>
      <c r="M22" s="1">
        <v>3000000</v>
      </c>
      <c r="N22" s="1">
        <v>67500</v>
      </c>
      <c r="O22" s="1">
        <f t="shared" ca="1" si="3"/>
        <v>1543000</v>
      </c>
      <c r="P22" s="1">
        <f>C22-M22</f>
        <v>3000000</v>
      </c>
      <c r="Q22" t="str">
        <f t="shared" ca="1" si="4"/>
        <v>Non-compliant</v>
      </c>
      <c r="R22" t="s">
        <v>18</v>
      </c>
      <c r="S22" s="3">
        <f t="shared" si="5"/>
        <v>0.5</v>
      </c>
      <c r="T22" s="3">
        <f ca="1">M22/G22</f>
        <v>0.66035659255998236</v>
      </c>
      <c r="U22" s="3">
        <f t="shared" si="6"/>
        <v>1.0227272727272727</v>
      </c>
      <c r="V22" s="1">
        <f t="shared" ca="1" si="7"/>
        <v>140.27272727272728</v>
      </c>
      <c r="W22" t="str">
        <f t="shared" ca="1" si="8"/>
        <v>Poor</v>
      </c>
      <c r="X22" t="s">
        <v>453</v>
      </c>
    </row>
    <row r="23" spans="1:24" x14ac:dyDescent="0.25">
      <c r="A23" s="2">
        <v>45797</v>
      </c>
      <c r="B23">
        <f t="shared" ca="1" si="0"/>
        <v>467</v>
      </c>
      <c r="C23" s="1">
        <v>6000000</v>
      </c>
      <c r="D23" s="1">
        <v>10000</v>
      </c>
      <c r="E23" s="1">
        <f t="shared" si="1"/>
        <v>60000</v>
      </c>
      <c r="F23" s="1">
        <v>50000</v>
      </c>
      <c r="G23" s="1">
        <f t="shared" ca="1" si="2"/>
        <v>4670000</v>
      </c>
      <c r="H23" t="s">
        <v>316</v>
      </c>
      <c r="I23" t="s">
        <v>14</v>
      </c>
      <c r="J23" t="s">
        <v>58</v>
      </c>
      <c r="K23" t="s">
        <v>59</v>
      </c>
      <c r="L23">
        <v>1000000021</v>
      </c>
      <c r="M23" s="1">
        <v>3479509</v>
      </c>
      <c r="N23" s="1">
        <v>49500</v>
      </c>
      <c r="O23" s="1">
        <f t="shared" ca="1" si="3"/>
        <v>1190491</v>
      </c>
      <c r="P23" s="1">
        <f>C23-M23</f>
        <v>2520491</v>
      </c>
      <c r="Q23" t="str">
        <f t="shared" ca="1" si="4"/>
        <v>Non-compliant</v>
      </c>
      <c r="R23" t="s">
        <v>18</v>
      </c>
      <c r="S23" s="3">
        <f t="shared" si="5"/>
        <v>0.57991816666666662</v>
      </c>
      <c r="T23" s="3">
        <f ca="1">M23/G23</f>
        <v>0.74507687366167019</v>
      </c>
      <c r="U23" s="3">
        <f t="shared" si="6"/>
        <v>0.82499999999999996</v>
      </c>
      <c r="V23" s="1">
        <f t="shared" ca="1" si="7"/>
        <v>119.0491</v>
      </c>
      <c r="W23" t="str">
        <f t="shared" ca="1" si="8"/>
        <v>Needs Monitoring</v>
      </c>
      <c r="X23" t="s">
        <v>452</v>
      </c>
    </row>
    <row r="24" spans="1:24" x14ac:dyDescent="0.25">
      <c r="A24" s="2">
        <v>45734</v>
      </c>
      <c r="B24">
        <f t="shared" ca="1" si="0"/>
        <v>425</v>
      </c>
      <c r="C24" s="1">
        <v>6000000</v>
      </c>
      <c r="D24" s="1">
        <v>9000</v>
      </c>
      <c r="E24" s="1">
        <f t="shared" si="1"/>
        <v>54000</v>
      </c>
      <c r="F24" s="1">
        <v>75000</v>
      </c>
      <c r="G24" s="1">
        <f t="shared" ca="1" si="2"/>
        <v>3825000</v>
      </c>
      <c r="H24" t="s">
        <v>317</v>
      </c>
      <c r="I24" t="s">
        <v>14</v>
      </c>
      <c r="J24" t="s">
        <v>60</v>
      </c>
      <c r="K24" t="s">
        <v>61</v>
      </c>
      <c r="L24">
        <v>1000000022</v>
      </c>
      <c r="M24" s="1">
        <v>3628975</v>
      </c>
      <c r="N24" s="1">
        <v>18500</v>
      </c>
      <c r="O24" s="1">
        <f t="shared" ca="1" si="3"/>
        <v>196025</v>
      </c>
      <c r="P24" s="1">
        <f>C24-M24</f>
        <v>2371025</v>
      </c>
      <c r="Q24" t="str">
        <f t="shared" ca="1" si="4"/>
        <v>Non-compliant</v>
      </c>
      <c r="R24" t="s">
        <v>18</v>
      </c>
      <c r="S24" s="3">
        <f t="shared" si="5"/>
        <v>0.60482916666666664</v>
      </c>
      <c r="T24" s="3">
        <f ca="1">M24/G24</f>
        <v>0.94875163398692808</v>
      </c>
      <c r="U24" s="3">
        <f t="shared" si="6"/>
        <v>0.34259259259259262</v>
      </c>
      <c r="V24" s="1">
        <f t="shared" ca="1" si="7"/>
        <v>21.780555555555555</v>
      </c>
      <c r="W24" t="str">
        <f t="shared" ca="1" si="8"/>
        <v>Good</v>
      </c>
      <c r="X24" t="s">
        <v>452</v>
      </c>
    </row>
    <row r="25" spans="1:24" x14ac:dyDescent="0.25">
      <c r="A25" s="2">
        <v>45783</v>
      </c>
      <c r="B25">
        <f t="shared" ca="1" si="0"/>
        <v>381</v>
      </c>
      <c r="C25" s="1">
        <v>6000000</v>
      </c>
      <c r="D25" s="1">
        <v>9000</v>
      </c>
      <c r="E25" s="1">
        <f t="shared" si="1"/>
        <v>54000</v>
      </c>
      <c r="F25" s="1">
        <v>100000</v>
      </c>
      <c r="G25" s="1">
        <f t="shared" ca="1" si="2"/>
        <v>3429000</v>
      </c>
      <c r="H25" t="s">
        <v>318</v>
      </c>
      <c r="I25" t="s">
        <v>14</v>
      </c>
      <c r="J25" t="s">
        <v>62</v>
      </c>
      <c r="K25" t="s">
        <v>63</v>
      </c>
      <c r="L25">
        <v>1000000023</v>
      </c>
      <c r="M25" s="1">
        <v>3844560</v>
      </c>
      <c r="N25" s="1">
        <v>42500</v>
      </c>
      <c r="O25" s="1">
        <f t="shared" ca="1" si="3"/>
        <v>-415560</v>
      </c>
      <c r="P25" s="1">
        <f>C25-M25</f>
        <v>2155440</v>
      </c>
      <c r="Q25" t="str">
        <f t="shared" ca="1" si="4"/>
        <v>Compliant</v>
      </c>
      <c r="R25" t="s">
        <v>18</v>
      </c>
      <c r="S25" s="3">
        <f t="shared" si="5"/>
        <v>0.64076</v>
      </c>
      <c r="T25" s="3">
        <f ca="1">M25/G25</f>
        <v>1.1211898512685914</v>
      </c>
      <c r="U25" s="3">
        <f t="shared" si="6"/>
        <v>0.78703703703703709</v>
      </c>
      <c r="V25" s="1">
        <f t="shared" ca="1" si="7"/>
        <v>-46.173333333333332</v>
      </c>
      <c r="W25" t="str">
        <f t="shared" ca="1" si="8"/>
        <v>Good</v>
      </c>
      <c r="X25" t="s">
        <v>453</v>
      </c>
    </row>
    <row r="26" spans="1:24" x14ac:dyDescent="0.25">
      <c r="A26" s="2">
        <v>45834</v>
      </c>
      <c r="B26">
        <f t="shared" ca="1" si="0"/>
        <v>385</v>
      </c>
      <c r="C26" s="1">
        <v>6000000</v>
      </c>
      <c r="D26" s="1">
        <v>10000</v>
      </c>
      <c r="E26" s="1">
        <f t="shared" si="1"/>
        <v>60000</v>
      </c>
      <c r="F26" s="1">
        <v>50000</v>
      </c>
      <c r="G26" s="1">
        <f t="shared" ca="1" si="2"/>
        <v>3850000</v>
      </c>
      <c r="H26" t="s">
        <v>319</v>
      </c>
      <c r="I26" t="s">
        <v>14</v>
      </c>
      <c r="J26" t="s">
        <v>64</v>
      </c>
      <c r="K26" t="s">
        <v>65</v>
      </c>
      <c r="L26">
        <v>1000000024</v>
      </c>
      <c r="M26" s="1">
        <v>3406613</v>
      </c>
      <c r="N26" s="1">
        <v>46000</v>
      </c>
      <c r="O26" s="1">
        <f t="shared" ca="1" si="3"/>
        <v>443387</v>
      </c>
      <c r="P26" s="1">
        <f>C26-M26</f>
        <v>2593387</v>
      </c>
      <c r="Q26" t="str">
        <f t="shared" ca="1" si="4"/>
        <v>Non-compliant</v>
      </c>
      <c r="R26" t="s">
        <v>18</v>
      </c>
      <c r="S26" s="3">
        <f t="shared" si="5"/>
        <v>0.56776883333333328</v>
      </c>
      <c r="T26" s="3">
        <f ca="1">M26/G26</f>
        <v>0.88483454545454543</v>
      </c>
      <c r="U26" s="3">
        <f t="shared" si="6"/>
        <v>0.76666666666666672</v>
      </c>
      <c r="V26" s="1">
        <f t="shared" ca="1" si="7"/>
        <v>44.338700000000003</v>
      </c>
      <c r="W26" t="str">
        <f t="shared" ca="1" si="8"/>
        <v>Needs Monitoring</v>
      </c>
      <c r="X26" t="s">
        <v>452</v>
      </c>
    </row>
    <row r="27" spans="1:24" x14ac:dyDescent="0.25">
      <c r="A27" s="2">
        <v>45829</v>
      </c>
      <c r="B27">
        <f t="shared" ca="1" si="0"/>
        <v>420</v>
      </c>
      <c r="C27" s="1">
        <v>6000000</v>
      </c>
      <c r="D27" s="1">
        <v>10000</v>
      </c>
      <c r="E27" s="1">
        <f t="shared" si="1"/>
        <v>60000</v>
      </c>
      <c r="F27" s="1">
        <v>100000</v>
      </c>
      <c r="G27" s="1">
        <f t="shared" ca="1" si="2"/>
        <v>4200000</v>
      </c>
      <c r="H27" t="s">
        <v>320</v>
      </c>
      <c r="I27" t="s">
        <v>14</v>
      </c>
      <c r="J27" t="s">
        <v>66</v>
      </c>
      <c r="K27" t="s">
        <v>67</v>
      </c>
      <c r="L27">
        <v>1000000025</v>
      </c>
      <c r="M27" s="1">
        <v>4295827</v>
      </c>
      <c r="N27" s="1">
        <v>65000</v>
      </c>
      <c r="O27" s="1">
        <f t="shared" ca="1" si="3"/>
        <v>-95827</v>
      </c>
      <c r="P27" s="1">
        <f>C27-M27</f>
        <v>1704173</v>
      </c>
      <c r="Q27" t="str">
        <f t="shared" ca="1" si="4"/>
        <v>Compliant</v>
      </c>
      <c r="R27" t="s">
        <v>18</v>
      </c>
      <c r="S27" s="3">
        <f t="shared" si="5"/>
        <v>0.71597116666666671</v>
      </c>
      <c r="T27" s="3">
        <f ca="1">M27/G27</f>
        <v>1.0228159523809524</v>
      </c>
      <c r="U27" s="3">
        <f t="shared" si="6"/>
        <v>1.0833333333333333</v>
      </c>
      <c r="V27" s="1">
        <f t="shared" ca="1" si="7"/>
        <v>-9.5827000000000009</v>
      </c>
      <c r="W27" t="str">
        <f t="shared" ca="1" si="8"/>
        <v>Good</v>
      </c>
      <c r="X27" t="s">
        <v>453</v>
      </c>
    </row>
    <row r="28" spans="1:24" x14ac:dyDescent="0.25">
      <c r="A28" s="2">
        <v>45789</v>
      </c>
      <c r="B28">
        <f t="shared" ca="1" si="0"/>
        <v>421</v>
      </c>
      <c r="C28" s="1">
        <v>6000000</v>
      </c>
      <c r="D28" s="1">
        <v>9000</v>
      </c>
      <c r="E28" s="1">
        <f t="shared" si="1"/>
        <v>54000</v>
      </c>
      <c r="F28" s="1">
        <v>100000</v>
      </c>
      <c r="G28" s="1">
        <f t="shared" ca="1" si="2"/>
        <v>3789000</v>
      </c>
      <c r="H28" t="s">
        <v>321</v>
      </c>
      <c r="I28" t="s">
        <v>14</v>
      </c>
      <c r="J28" t="s">
        <v>68</v>
      </c>
      <c r="K28" t="s">
        <v>69</v>
      </c>
      <c r="L28">
        <v>1000000026</v>
      </c>
      <c r="M28" s="1">
        <v>3683875</v>
      </c>
      <c r="N28" s="1">
        <v>40000</v>
      </c>
      <c r="O28" s="1">
        <f t="shared" ca="1" si="3"/>
        <v>105125</v>
      </c>
      <c r="P28" s="1">
        <f>C28-M28</f>
        <v>2316125</v>
      </c>
      <c r="Q28" t="str">
        <f t="shared" ca="1" si="4"/>
        <v>Non-compliant</v>
      </c>
      <c r="R28" t="s">
        <v>18</v>
      </c>
      <c r="S28" s="3">
        <f t="shared" si="5"/>
        <v>0.61397916666666663</v>
      </c>
      <c r="T28" s="3">
        <f ca="1">M28/G28</f>
        <v>0.97225521245711266</v>
      </c>
      <c r="U28" s="3">
        <f t="shared" si="6"/>
        <v>0.7407407407407407</v>
      </c>
      <c r="V28" s="1">
        <f t="shared" ca="1" si="7"/>
        <v>11.680555555555555</v>
      </c>
      <c r="W28" t="str">
        <f t="shared" ca="1" si="8"/>
        <v>Good</v>
      </c>
      <c r="X28" t="s">
        <v>452</v>
      </c>
    </row>
    <row r="29" spans="1:24" x14ac:dyDescent="0.25">
      <c r="A29" s="2">
        <v>45787</v>
      </c>
      <c r="B29">
        <f t="shared" ca="1" si="0"/>
        <v>465</v>
      </c>
      <c r="C29" s="1">
        <v>6000000</v>
      </c>
      <c r="D29" s="1">
        <v>10000</v>
      </c>
      <c r="E29" s="1">
        <f t="shared" si="1"/>
        <v>60000</v>
      </c>
      <c r="F29" s="1">
        <v>50000</v>
      </c>
      <c r="G29" s="1">
        <f t="shared" ca="1" si="2"/>
        <v>4650000</v>
      </c>
      <c r="H29" t="s">
        <v>322</v>
      </c>
      <c r="I29" t="s">
        <v>14</v>
      </c>
      <c r="J29" t="s">
        <v>70</v>
      </c>
      <c r="K29" t="s">
        <v>71</v>
      </c>
      <c r="L29">
        <v>1000000027</v>
      </c>
      <c r="M29" s="1">
        <v>4091382</v>
      </c>
      <c r="N29" s="1">
        <v>44500</v>
      </c>
      <c r="O29" s="1">
        <f t="shared" ca="1" si="3"/>
        <v>558618</v>
      </c>
      <c r="P29" s="1">
        <f>C29-M29</f>
        <v>1908618</v>
      </c>
      <c r="Q29" t="str">
        <f t="shared" ca="1" si="4"/>
        <v>Non-compliant</v>
      </c>
      <c r="R29" t="s">
        <v>18</v>
      </c>
      <c r="S29" s="3">
        <f t="shared" si="5"/>
        <v>0.68189699999999998</v>
      </c>
      <c r="T29" s="3">
        <f ca="1">M29/G29</f>
        <v>0.8798670967741935</v>
      </c>
      <c r="U29" s="3">
        <f t="shared" si="6"/>
        <v>0.7416666666666667</v>
      </c>
      <c r="V29" s="1">
        <f t="shared" ca="1" si="7"/>
        <v>55.861800000000002</v>
      </c>
      <c r="W29" t="str">
        <f t="shared" ca="1" si="8"/>
        <v>Needs Monitoring</v>
      </c>
      <c r="X29" t="s">
        <v>452</v>
      </c>
    </row>
    <row r="30" spans="1:24" x14ac:dyDescent="0.25">
      <c r="A30" s="2">
        <v>45736</v>
      </c>
      <c r="B30">
        <f t="shared" ca="1" si="0"/>
        <v>403</v>
      </c>
      <c r="C30" s="1">
        <v>6000000</v>
      </c>
      <c r="D30" s="1">
        <v>9000</v>
      </c>
      <c r="E30" s="1">
        <f t="shared" si="1"/>
        <v>54000</v>
      </c>
      <c r="F30" s="1">
        <v>100000</v>
      </c>
      <c r="G30" s="1">
        <f t="shared" ca="1" si="2"/>
        <v>3627000</v>
      </c>
      <c r="H30" t="s">
        <v>323</v>
      </c>
      <c r="I30" t="s">
        <v>142</v>
      </c>
      <c r="J30" t="s">
        <v>72</v>
      </c>
      <c r="K30" t="s">
        <v>73</v>
      </c>
      <c r="L30">
        <v>1000000028</v>
      </c>
      <c r="M30" s="1">
        <v>3989141</v>
      </c>
      <c r="N30" s="1">
        <v>0</v>
      </c>
      <c r="O30" s="1">
        <f t="shared" ca="1" si="3"/>
        <v>-362141</v>
      </c>
      <c r="P30" s="1">
        <f>C30-M30</f>
        <v>2010859</v>
      </c>
      <c r="Q30" t="str">
        <f t="shared" ca="1" si="4"/>
        <v>Compliant</v>
      </c>
      <c r="R30" t="s">
        <v>18</v>
      </c>
      <c r="S30" s="3">
        <f t="shared" si="5"/>
        <v>0.66485683333333334</v>
      </c>
      <c r="T30" s="3">
        <f ca="1">M30/G30</f>
        <v>1.0998458781362008</v>
      </c>
      <c r="U30" s="3">
        <f t="shared" si="6"/>
        <v>0</v>
      </c>
      <c r="V30" s="1">
        <f t="shared" ca="1" si="7"/>
        <v>-40.237888888888889</v>
      </c>
      <c r="W30" t="str">
        <f t="shared" ca="1" si="8"/>
        <v>Good</v>
      </c>
      <c r="X30" t="s">
        <v>453</v>
      </c>
    </row>
    <row r="31" spans="1:24" x14ac:dyDescent="0.25">
      <c r="A31" s="2">
        <v>45808</v>
      </c>
      <c r="B31">
        <f t="shared" ca="1" si="0"/>
        <v>443</v>
      </c>
      <c r="C31" s="1">
        <v>6000000</v>
      </c>
      <c r="D31" s="1">
        <v>9000</v>
      </c>
      <c r="E31" s="1">
        <f t="shared" si="1"/>
        <v>54000</v>
      </c>
      <c r="F31" s="1">
        <v>100000</v>
      </c>
      <c r="G31" s="1">
        <f t="shared" ca="1" si="2"/>
        <v>3987000</v>
      </c>
      <c r="H31" t="s">
        <v>324</v>
      </c>
      <c r="I31" t="s">
        <v>14</v>
      </c>
      <c r="J31" t="s">
        <v>74</v>
      </c>
      <c r="K31" t="s">
        <v>75</v>
      </c>
      <c r="L31">
        <v>1000000029</v>
      </c>
      <c r="M31" s="1">
        <v>4051111</v>
      </c>
      <c r="N31" s="1">
        <v>37500</v>
      </c>
      <c r="O31" s="1">
        <f t="shared" ca="1" si="3"/>
        <v>-64111</v>
      </c>
      <c r="P31" s="1">
        <f>C31-M31</f>
        <v>1948889</v>
      </c>
      <c r="Q31" t="str">
        <f t="shared" ca="1" si="4"/>
        <v>Compliant</v>
      </c>
      <c r="R31" t="s">
        <v>18</v>
      </c>
      <c r="S31" s="3">
        <f t="shared" si="5"/>
        <v>0.67518516666666661</v>
      </c>
      <c r="T31" s="3">
        <f ca="1">M31/G31</f>
        <v>1.016080010032606</v>
      </c>
      <c r="U31" s="3">
        <f t="shared" si="6"/>
        <v>0.69444444444444442</v>
      </c>
      <c r="V31" s="1">
        <f t="shared" ca="1" si="7"/>
        <v>-7.123444444444444</v>
      </c>
      <c r="W31" t="str">
        <f t="shared" ca="1" si="8"/>
        <v>Good</v>
      </c>
      <c r="X31" t="s">
        <v>453</v>
      </c>
    </row>
    <row r="32" spans="1:24" x14ac:dyDescent="0.25">
      <c r="A32" s="2">
        <v>45762</v>
      </c>
      <c r="B32">
        <f t="shared" ca="1" si="0"/>
        <v>398</v>
      </c>
      <c r="C32" s="1">
        <v>6000000</v>
      </c>
      <c r="D32" s="1">
        <v>11000</v>
      </c>
      <c r="E32" s="1">
        <f t="shared" si="1"/>
        <v>66000</v>
      </c>
      <c r="F32" s="1">
        <v>50000</v>
      </c>
      <c r="G32" s="1">
        <f t="shared" ca="1" si="2"/>
        <v>4378000</v>
      </c>
      <c r="H32" t="s">
        <v>325</v>
      </c>
      <c r="I32" t="s">
        <v>14</v>
      </c>
      <c r="J32" t="s">
        <v>76</v>
      </c>
      <c r="K32" t="s">
        <v>77</v>
      </c>
      <c r="L32">
        <v>1000000030</v>
      </c>
      <c r="M32" s="1">
        <v>4886057</v>
      </c>
      <c r="N32" s="1">
        <v>37500</v>
      </c>
      <c r="O32" s="1">
        <f t="shared" ca="1" si="3"/>
        <v>-508057</v>
      </c>
      <c r="P32" s="1">
        <f>C32-M32</f>
        <v>1113943</v>
      </c>
      <c r="Q32" t="str">
        <f t="shared" ca="1" si="4"/>
        <v>Compliant</v>
      </c>
      <c r="R32" t="s">
        <v>18</v>
      </c>
      <c r="S32" s="3">
        <f t="shared" si="5"/>
        <v>0.81434283333333335</v>
      </c>
      <c r="T32" s="3">
        <f ca="1">M32/G32</f>
        <v>1.1160477386934673</v>
      </c>
      <c r="U32" s="3">
        <f t="shared" si="6"/>
        <v>0.56818181818181823</v>
      </c>
      <c r="V32" s="1">
        <f t="shared" ca="1" si="7"/>
        <v>-46.186999999999998</v>
      </c>
      <c r="W32" t="str">
        <f t="shared" ca="1" si="8"/>
        <v>Good</v>
      </c>
      <c r="X32" t="s">
        <v>452</v>
      </c>
    </row>
    <row r="33" spans="1:24" x14ac:dyDescent="0.25">
      <c r="A33" s="2">
        <v>45814</v>
      </c>
      <c r="B33">
        <f t="shared" ca="1" si="0"/>
        <v>439</v>
      </c>
      <c r="C33" s="1">
        <v>6000000</v>
      </c>
      <c r="D33" s="1">
        <v>10000</v>
      </c>
      <c r="E33" s="1">
        <f t="shared" si="1"/>
        <v>60000</v>
      </c>
      <c r="F33" s="1">
        <v>75000</v>
      </c>
      <c r="G33" s="1">
        <f t="shared" ca="1" si="2"/>
        <v>4390000</v>
      </c>
      <c r="H33" t="s">
        <v>326</v>
      </c>
      <c r="I33" t="s">
        <v>142</v>
      </c>
      <c r="J33" t="s">
        <v>78</v>
      </c>
      <c r="K33" t="s">
        <v>79</v>
      </c>
      <c r="L33">
        <v>1000000031</v>
      </c>
      <c r="M33" s="1">
        <v>2915936</v>
      </c>
      <c r="N33" s="1">
        <v>0</v>
      </c>
      <c r="O33" s="1">
        <f t="shared" ca="1" si="3"/>
        <v>1474064</v>
      </c>
      <c r="P33" s="1">
        <f>C33-M33</f>
        <v>3084064</v>
      </c>
      <c r="Q33" t="str">
        <f t="shared" ca="1" si="4"/>
        <v>Non-compliant</v>
      </c>
      <c r="R33" t="s">
        <v>18</v>
      </c>
      <c r="S33" s="3">
        <f t="shared" si="5"/>
        <v>0.48598933333333333</v>
      </c>
      <c r="T33" s="3">
        <f ca="1">M33/G33</f>
        <v>0.66422232346241461</v>
      </c>
      <c r="U33" s="3">
        <f t="shared" si="6"/>
        <v>0</v>
      </c>
      <c r="V33" s="1">
        <f t="shared" ca="1" si="7"/>
        <v>147.40639999999999</v>
      </c>
      <c r="W33" t="str">
        <f t="shared" ca="1" si="8"/>
        <v>Poor</v>
      </c>
      <c r="X33" t="s">
        <v>452</v>
      </c>
    </row>
    <row r="34" spans="1:24" x14ac:dyDescent="0.25">
      <c r="A34" s="2">
        <v>45766</v>
      </c>
      <c r="B34">
        <f t="shared" ca="1" si="0"/>
        <v>425</v>
      </c>
      <c r="C34" s="1">
        <v>6000000</v>
      </c>
      <c r="D34" s="1">
        <v>11000</v>
      </c>
      <c r="E34" s="1">
        <f t="shared" si="1"/>
        <v>66000</v>
      </c>
      <c r="F34" s="1">
        <v>75000</v>
      </c>
      <c r="G34" s="1">
        <f t="shared" ca="1" si="2"/>
        <v>4675000</v>
      </c>
      <c r="H34" t="s">
        <v>327</v>
      </c>
      <c r="I34" t="s">
        <v>14</v>
      </c>
      <c r="J34" t="s">
        <v>80</v>
      </c>
      <c r="K34" t="s">
        <v>81</v>
      </c>
      <c r="L34">
        <v>1000000032</v>
      </c>
      <c r="M34" s="1">
        <v>5719384</v>
      </c>
      <c r="N34" s="1">
        <v>62000</v>
      </c>
      <c r="O34" s="1">
        <f t="shared" ca="1" si="3"/>
        <v>-1044384</v>
      </c>
      <c r="P34" s="1">
        <f>C34-M34</f>
        <v>280616</v>
      </c>
      <c r="Q34" t="str">
        <f t="shared" ca="1" si="4"/>
        <v>Compliant</v>
      </c>
      <c r="R34" t="s">
        <v>18</v>
      </c>
      <c r="S34" s="3">
        <f t="shared" si="5"/>
        <v>0.95323066666666667</v>
      </c>
      <c r="T34" s="3">
        <f ca="1">M34/G34</f>
        <v>1.2233976470588235</v>
      </c>
      <c r="U34" s="3">
        <f t="shared" si="6"/>
        <v>0.93939393939393945</v>
      </c>
      <c r="V34" s="1">
        <f t="shared" ca="1" si="7"/>
        <v>-94.944000000000003</v>
      </c>
      <c r="W34" t="str">
        <f t="shared" ca="1" si="8"/>
        <v>Good</v>
      </c>
      <c r="X34" t="s">
        <v>453</v>
      </c>
    </row>
    <row r="35" spans="1:24" x14ac:dyDescent="0.25">
      <c r="A35" s="2">
        <v>45783</v>
      </c>
      <c r="B35">
        <f t="shared" ca="1" si="0"/>
        <v>355</v>
      </c>
      <c r="C35" s="1">
        <v>6000000</v>
      </c>
      <c r="D35" s="1">
        <v>9000</v>
      </c>
      <c r="E35" s="1">
        <f t="shared" si="1"/>
        <v>54000</v>
      </c>
      <c r="F35" s="1">
        <v>100000</v>
      </c>
      <c r="G35" s="1">
        <f t="shared" ca="1" si="2"/>
        <v>3195000</v>
      </c>
      <c r="H35" t="s">
        <v>328</v>
      </c>
      <c r="I35" t="s">
        <v>14</v>
      </c>
      <c r="J35" t="s">
        <v>82</v>
      </c>
      <c r="K35" t="s">
        <v>83</v>
      </c>
      <c r="L35">
        <v>1000000033</v>
      </c>
      <c r="M35" s="1">
        <v>4051901</v>
      </c>
      <c r="N35" s="1">
        <v>44500</v>
      </c>
      <c r="O35" s="1">
        <f t="shared" ca="1" si="3"/>
        <v>-856901</v>
      </c>
      <c r="P35" s="1">
        <f>C35-M35</f>
        <v>1948099</v>
      </c>
      <c r="Q35" t="str">
        <f t="shared" ca="1" si="4"/>
        <v>Compliant</v>
      </c>
      <c r="R35" t="s">
        <v>18</v>
      </c>
      <c r="S35" s="3">
        <f t="shared" si="5"/>
        <v>0.67531683333333337</v>
      </c>
      <c r="T35" s="3">
        <f ca="1">M35/G35</f>
        <v>1.2682006259780907</v>
      </c>
      <c r="U35" s="3">
        <f t="shared" si="6"/>
        <v>0.82407407407407407</v>
      </c>
      <c r="V35" s="1">
        <f t="shared" ca="1" si="7"/>
        <v>-95.211222222222219</v>
      </c>
      <c r="W35" t="str">
        <f t="shared" ca="1" si="8"/>
        <v>Good</v>
      </c>
      <c r="X35" t="s">
        <v>452</v>
      </c>
    </row>
    <row r="36" spans="1:24" x14ac:dyDescent="0.25">
      <c r="A36" s="2">
        <v>45864</v>
      </c>
      <c r="B36">
        <f t="shared" ca="1" si="0"/>
        <v>336</v>
      </c>
      <c r="C36" s="1">
        <v>6000000</v>
      </c>
      <c r="D36" s="1">
        <v>9000</v>
      </c>
      <c r="E36" s="1">
        <f t="shared" si="1"/>
        <v>54000</v>
      </c>
      <c r="F36" s="1">
        <v>75000</v>
      </c>
      <c r="G36" s="1">
        <f t="shared" ca="1" si="2"/>
        <v>3024000</v>
      </c>
      <c r="H36" t="s">
        <v>329</v>
      </c>
      <c r="I36" t="s">
        <v>14</v>
      </c>
      <c r="J36" t="s">
        <v>84</v>
      </c>
      <c r="K36" t="s">
        <v>85</v>
      </c>
      <c r="L36">
        <v>1000000034</v>
      </c>
      <c r="M36" s="1">
        <v>3580944</v>
      </c>
      <c r="N36" s="1">
        <v>24500</v>
      </c>
      <c r="O36" s="1">
        <f t="shared" ca="1" si="3"/>
        <v>-556944</v>
      </c>
      <c r="P36" s="1">
        <f>C36-M36</f>
        <v>2419056</v>
      </c>
      <c r="Q36" t="str">
        <f t="shared" ca="1" si="4"/>
        <v>Compliant</v>
      </c>
      <c r="R36" t="s">
        <v>18</v>
      </c>
      <c r="S36" s="3">
        <f t="shared" si="5"/>
        <v>0.59682400000000002</v>
      </c>
      <c r="T36" s="3">
        <f ca="1">M36/G36</f>
        <v>1.1841746031746032</v>
      </c>
      <c r="U36" s="3">
        <f t="shared" si="6"/>
        <v>0.45370370370370372</v>
      </c>
      <c r="V36" s="1">
        <f t="shared" ca="1" si="7"/>
        <v>-61.882666666666665</v>
      </c>
      <c r="W36" t="str">
        <f t="shared" ca="1" si="8"/>
        <v>Good</v>
      </c>
      <c r="X36" t="s">
        <v>453</v>
      </c>
    </row>
    <row r="37" spans="1:24" x14ac:dyDescent="0.25">
      <c r="A37" s="2">
        <v>45887</v>
      </c>
      <c r="B37">
        <f t="shared" ca="1" si="0"/>
        <v>390</v>
      </c>
      <c r="C37" s="1">
        <v>6000000</v>
      </c>
      <c r="D37" s="1">
        <v>10000</v>
      </c>
      <c r="E37" s="1">
        <f t="shared" si="1"/>
        <v>60000</v>
      </c>
      <c r="F37" s="1">
        <v>100000</v>
      </c>
      <c r="G37" s="1">
        <f t="shared" ca="1" si="2"/>
        <v>3900000</v>
      </c>
      <c r="H37" t="s">
        <v>330</v>
      </c>
      <c r="I37" t="s">
        <v>14</v>
      </c>
      <c r="J37" t="s">
        <v>86</v>
      </c>
      <c r="K37" t="s">
        <v>87</v>
      </c>
      <c r="L37">
        <v>1000000035</v>
      </c>
      <c r="M37" s="1">
        <v>3757133</v>
      </c>
      <c r="N37" s="1">
        <v>54500</v>
      </c>
      <c r="O37" s="1">
        <f t="shared" ca="1" si="3"/>
        <v>142867</v>
      </c>
      <c r="P37" s="1">
        <f>C37-M37</f>
        <v>2242867</v>
      </c>
      <c r="Q37" t="str">
        <f t="shared" ca="1" si="4"/>
        <v>Non-compliant</v>
      </c>
      <c r="R37" t="s">
        <v>18</v>
      </c>
      <c r="S37" s="3">
        <f t="shared" si="5"/>
        <v>0.62618883333333331</v>
      </c>
      <c r="T37" s="3">
        <f ca="1">M37/G37</f>
        <v>0.9633674358974359</v>
      </c>
      <c r="U37" s="3">
        <f t="shared" si="6"/>
        <v>0.90833333333333333</v>
      </c>
      <c r="V37" s="1">
        <f t="shared" ca="1" si="7"/>
        <v>14.2867</v>
      </c>
      <c r="W37" t="str">
        <f t="shared" ca="1" si="8"/>
        <v>Good</v>
      </c>
      <c r="X37" t="s">
        <v>452</v>
      </c>
    </row>
    <row r="38" spans="1:24" x14ac:dyDescent="0.25">
      <c r="A38" s="2">
        <v>45824</v>
      </c>
      <c r="B38">
        <f t="shared" ca="1" si="0"/>
        <v>387</v>
      </c>
      <c r="C38" s="1">
        <v>6000000</v>
      </c>
      <c r="D38" s="1">
        <v>11000</v>
      </c>
      <c r="E38" s="1">
        <f t="shared" si="1"/>
        <v>66000</v>
      </c>
      <c r="F38" s="1">
        <v>100000</v>
      </c>
      <c r="G38" s="1">
        <f t="shared" ca="1" si="2"/>
        <v>4257000</v>
      </c>
      <c r="H38" t="s">
        <v>331</v>
      </c>
      <c r="I38" t="s">
        <v>14</v>
      </c>
      <c r="J38" t="s">
        <v>88</v>
      </c>
      <c r="K38" t="s">
        <v>89</v>
      </c>
      <c r="L38">
        <v>1000000036</v>
      </c>
      <c r="M38" s="1">
        <v>4562937</v>
      </c>
      <c r="N38" s="1">
        <v>46000</v>
      </c>
      <c r="O38" s="1">
        <f t="shared" ca="1" si="3"/>
        <v>-305937</v>
      </c>
      <c r="P38" s="1">
        <f>C38-M38</f>
        <v>1437063</v>
      </c>
      <c r="Q38" t="str">
        <f t="shared" ca="1" si="4"/>
        <v>Compliant</v>
      </c>
      <c r="R38" t="s">
        <v>18</v>
      </c>
      <c r="S38" s="3">
        <f t="shared" si="5"/>
        <v>0.76048950000000004</v>
      </c>
      <c r="T38" s="3">
        <f ca="1">M38/G38</f>
        <v>1.0718668076109936</v>
      </c>
      <c r="U38" s="3">
        <f t="shared" si="6"/>
        <v>0.69696969696969702</v>
      </c>
      <c r="V38" s="1">
        <f t="shared" ca="1" si="7"/>
        <v>-27.812454545454546</v>
      </c>
      <c r="W38" t="str">
        <f t="shared" ca="1" si="8"/>
        <v>Good</v>
      </c>
      <c r="X38" t="s">
        <v>453</v>
      </c>
    </row>
    <row r="39" spans="1:24" x14ac:dyDescent="0.25">
      <c r="A39" s="2">
        <v>45827</v>
      </c>
      <c r="B39">
        <f t="shared" ca="1" si="0"/>
        <v>462</v>
      </c>
      <c r="C39" s="1">
        <v>6000000</v>
      </c>
      <c r="D39" s="1">
        <v>10000</v>
      </c>
      <c r="E39" s="1">
        <f t="shared" si="1"/>
        <v>60000</v>
      </c>
      <c r="F39" s="1">
        <v>75000</v>
      </c>
      <c r="G39" s="1">
        <f t="shared" ca="1" si="2"/>
        <v>4620000</v>
      </c>
      <c r="H39" t="s">
        <v>332</v>
      </c>
      <c r="I39" t="s">
        <v>14</v>
      </c>
      <c r="J39" t="s">
        <v>90</v>
      </c>
      <c r="K39" t="s">
        <v>91</v>
      </c>
      <c r="L39">
        <v>1000000037</v>
      </c>
      <c r="M39" s="1">
        <v>2725337</v>
      </c>
      <c r="N39" s="1">
        <v>40500</v>
      </c>
      <c r="O39" s="1">
        <f t="shared" ca="1" si="3"/>
        <v>1894663</v>
      </c>
      <c r="P39" s="1">
        <f>C39-M39</f>
        <v>3274663</v>
      </c>
      <c r="Q39" t="str">
        <f t="shared" ca="1" si="4"/>
        <v>Non-compliant</v>
      </c>
      <c r="R39" t="s">
        <v>18</v>
      </c>
      <c r="S39" s="3">
        <f t="shared" si="5"/>
        <v>0.45422283333333335</v>
      </c>
      <c r="T39" s="3">
        <f ca="1">M39/G39</f>
        <v>0.58989978354978356</v>
      </c>
      <c r="U39" s="3">
        <f t="shared" si="6"/>
        <v>0.67500000000000004</v>
      </c>
      <c r="V39" s="1">
        <f t="shared" ca="1" si="7"/>
        <v>189.46629999999999</v>
      </c>
      <c r="W39" t="str">
        <f t="shared" ca="1" si="8"/>
        <v>Poor</v>
      </c>
      <c r="X39" t="s">
        <v>452</v>
      </c>
    </row>
    <row r="40" spans="1:24" x14ac:dyDescent="0.25">
      <c r="A40" s="2">
        <v>45740</v>
      </c>
      <c r="B40">
        <f t="shared" ca="1" si="0"/>
        <v>382</v>
      </c>
      <c r="C40" s="1">
        <v>6000000</v>
      </c>
      <c r="D40" s="1">
        <v>9000</v>
      </c>
      <c r="E40" s="1">
        <f t="shared" si="1"/>
        <v>54000</v>
      </c>
      <c r="F40" s="1">
        <v>100000</v>
      </c>
      <c r="G40" s="1">
        <f t="shared" ca="1" si="2"/>
        <v>3438000</v>
      </c>
      <c r="H40" t="s">
        <v>333</v>
      </c>
      <c r="I40" t="s">
        <v>14</v>
      </c>
      <c r="J40" t="s">
        <v>92</v>
      </c>
      <c r="K40" t="s">
        <v>93</v>
      </c>
      <c r="L40">
        <v>1000000038</v>
      </c>
      <c r="M40" s="1">
        <v>4496843</v>
      </c>
      <c r="N40" s="1">
        <v>41000</v>
      </c>
      <c r="O40" s="1">
        <f t="shared" ca="1" si="3"/>
        <v>-1058843</v>
      </c>
      <c r="P40" s="1">
        <f>C40-M40</f>
        <v>1503157</v>
      </c>
      <c r="Q40" t="str">
        <f t="shared" ca="1" si="4"/>
        <v>Compliant</v>
      </c>
      <c r="R40" t="s">
        <v>18</v>
      </c>
      <c r="S40" s="3">
        <f t="shared" si="5"/>
        <v>0.74947383333333328</v>
      </c>
      <c r="T40" s="3">
        <f ca="1">M40/G40</f>
        <v>1.3079822571262363</v>
      </c>
      <c r="U40" s="3">
        <f t="shared" si="6"/>
        <v>0.7592592592592593</v>
      </c>
      <c r="V40" s="1">
        <f t="shared" ca="1" si="7"/>
        <v>-117.64922222222222</v>
      </c>
      <c r="W40" t="str">
        <f t="shared" ca="1" si="8"/>
        <v>Good</v>
      </c>
      <c r="X40" t="s">
        <v>452</v>
      </c>
    </row>
    <row r="41" spans="1:24" x14ac:dyDescent="0.25">
      <c r="A41" s="2">
        <v>45833</v>
      </c>
      <c r="B41">
        <f t="shared" ca="1" si="0"/>
        <v>389</v>
      </c>
      <c r="C41" s="1">
        <v>6000000</v>
      </c>
      <c r="D41" s="1">
        <v>11000</v>
      </c>
      <c r="E41" s="1">
        <f t="shared" si="1"/>
        <v>66000</v>
      </c>
      <c r="F41" s="1">
        <v>100000</v>
      </c>
      <c r="G41" s="1">
        <f t="shared" ca="1" si="2"/>
        <v>4279000</v>
      </c>
      <c r="H41" t="s">
        <v>334</v>
      </c>
      <c r="I41" t="s">
        <v>14</v>
      </c>
      <c r="J41" t="s">
        <v>94</v>
      </c>
      <c r="K41" t="s">
        <v>95</v>
      </c>
      <c r="L41">
        <v>1000000039</v>
      </c>
      <c r="M41" s="1">
        <v>4547059</v>
      </c>
      <c r="N41" s="1">
        <v>59500</v>
      </c>
      <c r="O41" s="1">
        <f t="shared" ca="1" si="3"/>
        <v>-268059</v>
      </c>
      <c r="P41" s="1">
        <f>C41-M41</f>
        <v>1452941</v>
      </c>
      <c r="Q41" t="str">
        <f t="shared" ca="1" si="4"/>
        <v>Compliant</v>
      </c>
      <c r="R41" t="s">
        <v>18</v>
      </c>
      <c r="S41" s="3">
        <f t="shared" si="5"/>
        <v>0.75784316666666662</v>
      </c>
      <c r="T41" s="3">
        <f ca="1">M41/G41</f>
        <v>1.0626452442159382</v>
      </c>
      <c r="U41" s="3">
        <f t="shared" si="6"/>
        <v>0.90151515151515149</v>
      </c>
      <c r="V41" s="1">
        <f t="shared" ca="1" si="7"/>
        <v>-24.369</v>
      </c>
      <c r="W41" t="str">
        <f t="shared" ca="1" si="8"/>
        <v>Good</v>
      </c>
      <c r="X41" t="s">
        <v>453</v>
      </c>
    </row>
    <row r="42" spans="1:24" x14ac:dyDescent="0.25">
      <c r="A42" s="2">
        <v>45825</v>
      </c>
      <c r="B42">
        <f t="shared" ca="1" si="0"/>
        <v>384</v>
      </c>
      <c r="C42" s="1">
        <v>6000000</v>
      </c>
      <c r="D42" s="1">
        <v>9000</v>
      </c>
      <c r="E42" s="1">
        <f t="shared" si="1"/>
        <v>54000</v>
      </c>
      <c r="F42" s="1">
        <v>50000</v>
      </c>
      <c r="G42" s="1">
        <f t="shared" ca="1" si="2"/>
        <v>3456000</v>
      </c>
      <c r="H42" t="s">
        <v>335</v>
      </c>
      <c r="I42" t="s">
        <v>14</v>
      </c>
      <c r="J42" t="s">
        <v>96</v>
      </c>
      <c r="K42" t="s">
        <v>97</v>
      </c>
      <c r="L42">
        <v>1000000040</v>
      </c>
      <c r="M42" s="1">
        <v>3635324</v>
      </c>
      <c r="N42" s="1">
        <v>58000</v>
      </c>
      <c r="O42" s="1">
        <f t="shared" ca="1" si="3"/>
        <v>-179324</v>
      </c>
      <c r="P42" s="1">
        <f>C42-M42</f>
        <v>2364676</v>
      </c>
      <c r="Q42" t="str">
        <f t="shared" ca="1" si="4"/>
        <v>Compliant</v>
      </c>
      <c r="R42" t="s">
        <v>18</v>
      </c>
      <c r="S42" s="3">
        <f t="shared" si="5"/>
        <v>0.60588733333333333</v>
      </c>
      <c r="T42" s="3">
        <f ca="1">M42/G42</f>
        <v>1.0518877314814814</v>
      </c>
      <c r="U42" s="3">
        <f t="shared" si="6"/>
        <v>1.0740740740740742</v>
      </c>
      <c r="V42" s="1">
        <f t="shared" ca="1" si="7"/>
        <v>-19.924888888888891</v>
      </c>
      <c r="W42" t="str">
        <f t="shared" ca="1" si="8"/>
        <v>Good</v>
      </c>
      <c r="X42" t="s">
        <v>452</v>
      </c>
    </row>
    <row r="43" spans="1:24" x14ac:dyDescent="0.25">
      <c r="A43" s="2">
        <v>45830</v>
      </c>
      <c r="B43">
        <f t="shared" ca="1" si="0"/>
        <v>344</v>
      </c>
      <c r="C43" s="1">
        <v>6000000</v>
      </c>
      <c r="D43" s="1">
        <v>11000</v>
      </c>
      <c r="E43" s="1">
        <f t="shared" si="1"/>
        <v>66000</v>
      </c>
      <c r="F43" s="1">
        <v>100000</v>
      </c>
      <c r="G43" s="1">
        <f t="shared" ca="1" si="2"/>
        <v>3784000</v>
      </c>
      <c r="H43" t="s">
        <v>336</v>
      </c>
      <c r="I43" t="s">
        <v>14</v>
      </c>
      <c r="J43" t="s">
        <v>98</v>
      </c>
      <c r="K43" t="s">
        <v>77</v>
      </c>
      <c r="L43">
        <v>1000000041</v>
      </c>
      <c r="M43" s="1">
        <v>5395656</v>
      </c>
      <c r="N43" s="1">
        <v>69500</v>
      </c>
      <c r="O43" s="1">
        <f t="shared" ca="1" si="3"/>
        <v>-1611656</v>
      </c>
      <c r="P43" s="1">
        <f>C43-M43</f>
        <v>604344</v>
      </c>
      <c r="Q43" t="str">
        <f t="shared" ca="1" si="4"/>
        <v>Compliant</v>
      </c>
      <c r="R43" t="s">
        <v>18</v>
      </c>
      <c r="S43" s="3">
        <f t="shared" si="5"/>
        <v>0.89927599999999996</v>
      </c>
      <c r="T43" s="3">
        <f ca="1">M43/G43</f>
        <v>1.4259133192389006</v>
      </c>
      <c r="U43" s="3">
        <f t="shared" si="6"/>
        <v>1.053030303030303</v>
      </c>
      <c r="V43" s="1">
        <f t="shared" ca="1" si="7"/>
        <v>-146.51418181818181</v>
      </c>
      <c r="W43" t="str">
        <f t="shared" ca="1" si="8"/>
        <v>Good</v>
      </c>
      <c r="X43" t="s">
        <v>453</v>
      </c>
    </row>
    <row r="44" spans="1:24" x14ac:dyDescent="0.25">
      <c r="A44" s="2">
        <v>45877</v>
      </c>
      <c r="B44">
        <f t="shared" ca="1" si="0"/>
        <v>449</v>
      </c>
      <c r="C44" s="1">
        <v>6000000</v>
      </c>
      <c r="D44" s="1">
        <v>9000</v>
      </c>
      <c r="E44" s="1">
        <f t="shared" si="1"/>
        <v>54000</v>
      </c>
      <c r="F44" s="1">
        <v>75000</v>
      </c>
      <c r="G44" s="1">
        <f t="shared" ca="1" si="2"/>
        <v>4041000</v>
      </c>
      <c r="H44" t="s">
        <v>337</v>
      </c>
      <c r="I44" t="s">
        <v>14</v>
      </c>
      <c r="J44" t="s">
        <v>99</v>
      </c>
      <c r="K44" t="s">
        <v>100</v>
      </c>
      <c r="L44">
        <v>1000000042</v>
      </c>
      <c r="M44" s="1">
        <v>2962730</v>
      </c>
      <c r="N44" s="1">
        <v>42500</v>
      </c>
      <c r="O44" s="1">
        <f t="shared" ca="1" si="3"/>
        <v>1078270</v>
      </c>
      <c r="P44" s="1">
        <f>C44-M44</f>
        <v>3037270</v>
      </c>
      <c r="Q44" t="str">
        <f t="shared" ca="1" si="4"/>
        <v>Non-compliant</v>
      </c>
      <c r="R44" t="s">
        <v>18</v>
      </c>
      <c r="S44" s="3">
        <f t="shared" si="5"/>
        <v>0.49378833333333333</v>
      </c>
      <c r="T44" s="3">
        <f ca="1">M44/G44</f>
        <v>0.73316753278891367</v>
      </c>
      <c r="U44" s="3">
        <f t="shared" si="6"/>
        <v>0.78703703703703709</v>
      </c>
      <c r="V44" s="1">
        <f t="shared" ca="1" si="7"/>
        <v>119.80777777777777</v>
      </c>
      <c r="W44" t="str">
        <f t="shared" ca="1" si="8"/>
        <v>Needs Monitoring</v>
      </c>
      <c r="X44" t="s">
        <v>453</v>
      </c>
    </row>
    <row r="45" spans="1:24" x14ac:dyDescent="0.25">
      <c r="A45" s="2">
        <v>45755</v>
      </c>
      <c r="B45">
        <f t="shared" ca="1" si="0"/>
        <v>437</v>
      </c>
      <c r="C45" s="1">
        <v>6000000</v>
      </c>
      <c r="D45" s="1">
        <v>9000</v>
      </c>
      <c r="E45" s="1">
        <f t="shared" si="1"/>
        <v>54000</v>
      </c>
      <c r="F45" s="1">
        <v>75000</v>
      </c>
      <c r="G45" s="1">
        <f t="shared" ca="1" si="2"/>
        <v>3933000</v>
      </c>
      <c r="H45" t="s">
        <v>338</v>
      </c>
      <c r="I45" t="s">
        <v>142</v>
      </c>
      <c r="J45" t="s">
        <v>101</v>
      </c>
      <c r="K45" t="s">
        <v>102</v>
      </c>
      <c r="L45">
        <v>1000000043</v>
      </c>
      <c r="M45" s="1">
        <v>4838227</v>
      </c>
      <c r="N45" s="1">
        <v>0</v>
      </c>
      <c r="O45" s="1">
        <f t="shared" ca="1" si="3"/>
        <v>-905227</v>
      </c>
      <c r="P45" s="1">
        <f>C45-M45</f>
        <v>1161773</v>
      </c>
      <c r="Q45" t="str">
        <f t="shared" ca="1" si="4"/>
        <v>Compliant</v>
      </c>
      <c r="R45" t="s">
        <v>18</v>
      </c>
      <c r="S45" s="3">
        <f t="shared" si="5"/>
        <v>0.80637116666666664</v>
      </c>
      <c r="T45" s="3">
        <f ca="1">M45/G45</f>
        <v>1.2301619628782101</v>
      </c>
      <c r="U45" s="3">
        <f t="shared" si="6"/>
        <v>0</v>
      </c>
      <c r="V45" s="1">
        <f t="shared" ca="1" si="7"/>
        <v>-100.58077777777778</v>
      </c>
      <c r="W45" t="str">
        <f t="shared" ca="1" si="8"/>
        <v>Good</v>
      </c>
      <c r="X45" t="s">
        <v>452</v>
      </c>
    </row>
    <row r="46" spans="1:24" x14ac:dyDescent="0.25">
      <c r="A46" s="2">
        <v>45769</v>
      </c>
      <c r="B46">
        <f t="shared" ca="1" si="0"/>
        <v>364</v>
      </c>
      <c r="C46" s="1">
        <v>6000000</v>
      </c>
      <c r="D46" s="1">
        <v>11000</v>
      </c>
      <c r="E46" s="1">
        <f t="shared" si="1"/>
        <v>66000</v>
      </c>
      <c r="F46" s="1">
        <v>75000</v>
      </c>
      <c r="G46" s="1">
        <f t="shared" ca="1" si="2"/>
        <v>4004000</v>
      </c>
      <c r="H46" t="s">
        <v>339</v>
      </c>
      <c r="I46" t="s">
        <v>14</v>
      </c>
      <c r="J46" t="s">
        <v>103</v>
      </c>
      <c r="K46" t="s">
        <v>104</v>
      </c>
      <c r="L46">
        <v>1000000044</v>
      </c>
      <c r="M46" s="1">
        <v>4785723</v>
      </c>
      <c r="N46" s="1">
        <v>69000</v>
      </c>
      <c r="O46" s="1">
        <f t="shared" ca="1" si="3"/>
        <v>-781723</v>
      </c>
      <c r="P46" s="1">
        <f>C46-M46</f>
        <v>1214277</v>
      </c>
      <c r="Q46" t="str">
        <f t="shared" ca="1" si="4"/>
        <v>Compliant</v>
      </c>
      <c r="R46" t="s">
        <v>18</v>
      </c>
      <c r="S46" s="3">
        <f t="shared" si="5"/>
        <v>0.79762049999999995</v>
      </c>
      <c r="T46" s="3">
        <f ca="1">M46/G46</f>
        <v>1.1952355144855145</v>
      </c>
      <c r="U46" s="3">
        <f t="shared" si="6"/>
        <v>1.0454545454545454</v>
      </c>
      <c r="V46" s="1">
        <f t="shared" ca="1" si="7"/>
        <v>-71.065727272727273</v>
      </c>
      <c r="W46" t="str">
        <f t="shared" ca="1" si="8"/>
        <v>Good</v>
      </c>
      <c r="X46" t="s">
        <v>452</v>
      </c>
    </row>
    <row r="47" spans="1:24" x14ac:dyDescent="0.25">
      <c r="A47" s="2">
        <v>45854</v>
      </c>
      <c r="B47">
        <f t="shared" ca="1" si="0"/>
        <v>454</v>
      </c>
      <c r="C47" s="1">
        <v>6000000</v>
      </c>
      <c r="D47" s="1">
        <v>9000</v>
      </c>
      <c r="E47" s="1">
        <f t="shared" si="1"/>
        <v>54000</v>
      </c>
      <c r="F47" s="1">
        <v>75000</v>
      </c>
      <c r="G47" s="1">
        <f t="shared" ca="1" si="2"/>
        <v>4086000</v>
      </c>
      <c r="H47" t="s">
        <v>340</v>
      </c>
      <c r="I47" t="s">
        <v>14</v>
      </c>
      <c r="J47" t="s">
        <v>105</v>
      </c>
      <c r="K47" t="s">
        <v>106</v>
      </c>
      <c r="L47">
        <v>1000000045</v>
      </c>
      <c r="M47" s="1">
        <v>3546788</v>
      </c>
      <c r="N47" s="1">
        <v>36500</v>
      </c>
      <c r="O47" s="1">
        <f t="shared" ca="1" si="3"/>
        <v>539212</v>
      </c>
      <c r="P47" s="1">
        <f>C47-M47</f>
        <v>2453212</v>
      </c>
      <c r="Q47" t="str">
        <f t="shared" ca="1" si="4"/>
        <v>Non-compliant</v>
      </c>
      <c r="R47" t="s">
        <v>18</v>
      </c>
      <c r="S47" s="3">
        <f t="shared" si="5"/>
        <v>0.59113133333333334</v>
      </c>
      <c r="T47" s="3">
        <f ca="1">M47/G47</f>
        <v>0.86803426333822808</v>
      </c>
      <c r="U47" s="3">
        <f t="shared" si="6"/>
        <v>0.67592592592592593</v>
      </c>
      <c r="V47" s="1">
        <f t="shared" ca="1" si="7"/>
        <v>59.912444444444446</v>
      </c>
      <c r="W47" t="str">
        <f t="shared" ca="1" si="8"/>
        <v>Needs Monitoring</v>
      </c>
      <c r="X47" t="s">
        <v>453</v>
      </c>
    </row>
    <row r="48" spans="1:24" x14ac:dyDescent="0.25">
      <c r="A48" s="2">
        <v>45749</v>
      </c>
      <c r="B48">
        <f t="shared" ca="1" si="0"/>
        <v>425</v>
      </c>
      <c r="C48" s="1">
        <v>6000000</v>
      </c>
      <c r="D48" s="1">
        <v>10000</v>
      </c>
      <c r="E48" s="1">
        <f t="shared" si="1"/>
        <v>60000</v>
      </c>
      <c r="F48" s="1">
        <v>75000</v>
      </c>
      <c r="G48" s="1">
        <f t="shared" ca="1" si="2"/>
        <v>4250000</v>
      </c>
      <c r="H48" t="s">
        <v>341</v>
      </c>
      <c r="I48" t="s">
        <v>14</v>
      </c>
      <c r="J48" t="s">
        <v>107</v>
      </c>
      <c r="K48" t="s">
        <v>108</v>
      </c>
      <c r="L48">
        <v>1000000046</v>
      </c>
      <c r="M48" s="1">
        <v>3530223</v>
      </c>
      <c r="N48" s="1">
        <v>45500</v>
      </c>
      <c r="O48" s="1">
        <f t="shared" ca="1" si="3"/>
        <v>719777</v>
      </c>
      <c r="P48" s="1">
        <f>C48-M48</f>
        <v>2469777</v>
      </c>
      <c r="Q48" t="str">
        <f t="shared" ca="1" si="4"/>
        <v>Non-compliant</v>
      </c>
      <c r="R48" t="s">
        <v>18</v>
      </c>
      <c r="S48" s="3">
        <f t="shared" si="5"/>
        <v>0.58837050000000002</v>
      </c>
      <c r="T48" s="3">
        <f ca="1">M48/G48</f>
        <v>0.83064070588235295</v>
      </c>
      <c r="U48" s="3">
        <f t="shared" si="6"/>
        <v>0.7583333333333333</v>
      </c>
      <c r="V48" s="1">
        <f t="shared" ca="1" si="7"/>
        <v>71.977699999999999</v>
      </c>
      <c r="W48" t="str">
        <f t="shared" ca="1" si="8"/>
        <v>Needs Monitoring</v>
      </c>
      <c r="X48" t="s">
        <v>452</v>
      </c>
    </row>
    <row r="49" spans="1:24" x14ac:dyDescent="0.25">
      <c r="A49" s="2">
        <v>45783</v>
      </c>
      <c r="B49">
        <f t="shared" ca="1" si="0"/>
        <v>378</v>
      </c>
      <c r="C49" s="1">
        <v>6000000</v>
      </c>
      <c r="D49" s="1">
        <v>11000</v>
      </c>
      <c r="E49" s="1">
        <f t="shared" si="1"/>
        <v>66000</v>
      </c>
      <c r="F49" s="1">
        <v>75000</v>
      </c>
      <c r="G49" s="1">
        <f t="shared" ca="1" si="2"/>
        <v>4158000</v>
      </c>
      <c r="H49" t="s">
        <v>342</v>
      </c>
      <c r="I49" t="s">
        <v>142</v>
      </c>
      <c r="J49" t="s">
        <v>109</v>
      </c>
      <c r="K49" t="s">
        <v>110</v>
      </c>
      <c r="L49">
        <v>1000000047</v>
      </c>
      <c r="M49" s="1">
        <v>4743594</v>
      </c>
      <c r="N49" s="1">
        <v>0</v>
      </c>
      <c r="O49" s="1">
        <f t="shared" ca="1" si="3"/>
        <v>-585594</v>
      </c>
      <c r="P49" s="1">
        <f>C49-M49</f>
        <v>1256406</v>
      </c>
      <c r="Q49" t="str">
        <f t="shared" ca="1" si="4"/>
        <v>Compliant</v>
      </c>
      <c r="R49" t="s">
        <v>18</v>
      </c>
      <c r="S49" s="3">
        <f t="shared" si="5"/>
        <v>0.79059900000000005</v>
      </c>
      <c r="T49" s="3">
        <f ca="1">M49/G49</f>
        <v>1.1408354978354978</v>
      </c>
      <c r="U49" s="3">
        <f t="shared" si="6"/>
        <v>0</v>
      </c>
      <c r="V49" s="1">
        <f t="shared" ca="1" si="7"/>
        <v>-53.235818181818182</v>
      </c>
      <c r="W49" t="str">
        <f t="shared" ca="1" si="8"/>
        <v>Good</v>
      </c>
      <c r="X49" t="s">
        <v>453</v>
      </c>
    </row>
    <row r="50" spans="1:24" x14ac:dyDescent="0.25">
      <c r="A50" s="2">
        <v>45837</v>
      </c>
      <c r="B50">
        <f t="shared" ca="1" si="0"/>
        <v>438</v>
      </c>
      <c r="C50" s="1">
        <v>6000000</v>
      </c>
      <c r="D50" s="1">
        <v>10000</v>
      </c>
      <c r="E50" s="1">
        <f t="shared" si="1"/>
        <v>60000</v>
      </c>
      <c r="F50" s="1">
        <v>100000</v>
      </c>
      <c r="G50" s="1">
        <f t="shared" ca="1" si="2"/>
        <v>4380000</v>
      </c>
      <c r="H50" t="s">
        <v>343</v>
      </c>
      <c r="I50" t="s">
        <v>14</v>
      </c>
      <c r="J50" t="s">
        <v>111</v>
      </c>
      <c r="K50" t="s">
        <v>112</v>
      </c>
      <c r="L50">
        <v>1000000048</v>
      </c>
      <c r="M50" s="1">
        <v>3363481</v>
      </c>
      <c r="N50" s="1">
        <v>54500</v>
      </c>
      <c r="O50" s="1">
        <f t="shared" ca="1" si="3"/>
        <v>1016519</v>
      </c>
      <c r="P50" s="1">
        <f>C50-M50</f>
        <v>2636519</v>
      </c>
      <c r="Q50" t="str">
        <f t="shared" ca="1" si="4"/>
        <v>Non-compliant</v>
      </c>
      <c r="R50" t="s">
        <v>18</v>
      </c>
      <c r="S50" s="3">
        <f t="shared" si="5"/>
        <v>0.56058016666666666</v>
      </c>
      <c r="T50" s="3">
        <f ca="1">M50/G50</f>
        <v>0.76791803652968038</v>
      </c>
      <c r="U50" s="3">
        <f t="shared" si="6"/>
        <v>0.90833333333333333</v>
      </c>
      <c r="V50" s="1">
        <f t="shared" ca="1" si="7"/>
        <v>101.6519</v>
      </c>
      <c r="W50" t="str">
        <f t="shared" ca="1" si="8"/>
        <v>Needs Monitoring</v>
      </c>
      <c r="X50" t="s">
        <v>452</v>
      </c>
    </row>
    <row r="51" spans="1:24" x14ac:dyDescent="0.25">
      <c r="A51" s="2">
        <v>45768</v>
      </c>
      <c r="B51">
        <f t="shared" ca="1" si="0"/>
        <v>445</v>
      </c>
      <c r="C51" s="1">
        <v>6000000</v>
      </c>
      <c r="D51" s="1">
        <v>10000</v>
      </c>
      <c r="E51" s="1">
        <f t="shared" si="1"/>
        <v>60000</v>
      </c>
      <c r="F51" s="1">
        <v>100000</v>
      </c>
      <c r="G51" s="1">
        <f t="shared" ca="1" si="2"/>
        <v>4450000</v>
      </c>
      <c r="H51" t="s">
        <v>344</v>
      </c>
      <c r="I51" t="s">
        <v>14</v>
      </c>
      <c r="J51" t="s">
        <v>113</v>
      </c>
      <c r="K51" t="s">
        <v>114</v>
      </c>
      <c r="L51">
        <v>1000000049</v>
      </c>
      <c r="M51" s="1">
        <v>3748738</v>
      </c>
      <c r="N51" s="1">
        <v>29000</v>
      </c>
      <c r="O51" s="1">
        <f t="shared" ca="1" si="3"/>
        <v>701262</v>
      </c>
      <c r="P51" s="1">
        <f>C51-M51</f>
        <v>2251262</v>
      </c>
      <c r="Q51" t="str">
        <f t="shared" ca="1" si="4"/>
        <v>Non-compliant</v>
      </c>
      <c r="R51" t="s">
        <v>18</v>
      </c>
      <c r="S51" s="3">
        <f t="shared" si="5"/>
        <v>0.62478966666666669</v>
      </c>
      <c r="T51" s="3">
        <f ca="1">M51/G51</f>
        <v>0.84241303370786513</v>
      </c>
      <c r="U51" s="3">
        <f t="shared" si="6"/>
        <v>0.48333333333333334</v>
      </c>
      <c r="V51" s="1">
        <f t="shared" ca="1" si="7"/>
        <v>70.126199999999997</v>
      </c>
      <c r="W51" t="str">
        <f t="shared" ca="1" si="8"/>
        <v>Needs Monitoring</v>
      </c>
      <c r="X51" t="s">
        <v>452</v>
      </c>
    </row>
    <row r="52" spans="1:24" x14ac:dyDescent="0.25">
      <c r="A52" s="2">
        <v>45759</v>
      </c>
      <c r="B52">
        <f t="shared" ca="1" si="0"/>
        <v>330</v>
      </c>
      <c r="C52" s="1">
        <v>6000000</v>
      </c>
      <c r="D52" s="1">
        <v>10000</v>
      </c>
      <c r="E52" s="1">
        <f t="shared" si="1"/>
        <v>60000</v>
      </c>
      <c r="F52" s="1">
        <v>50000</v>
      </c>
      <c r="G52" s="1">
        <f t="shared" ca="1" si="2"/>
        <v>3300000</v>
      </c>
      <c r="H52" t="s">
        <v>345</v>
      </c>
      <c r="I52" t="s">
        <v>142</v>
      </c>
      <c r="J52" t="s">
        <v>115</v>
      </c>
      <c r="K52" t="s">
        <v>116</v>
      </c>
      <c r="L52">
        <v>1000000050</v>
      </c>
      <c r="M52" s="1">
        <v>2542512</v>
      </c>
      <c r="N52" s="1">
        <v>0</v>
      </c>
      <c r="O52" s="1">
        <f t="shared" ca="1" si="3"/>
        <v>757488</v>
      </c>
      <c r="P52" s="1">
        <f>C52-M52</f>
        <v>3457488</v>
      </c>
      <c r="Q52" t="str">
        <f t="shared" ca="1" si="4"/>
        <v>Non-compliant</v>
      </c>
      <c r="R52" t="s">
        <v>117</v>
      </c>
      <c r="S52" s="3">
        <f t="shared" si="5"/>
        <v>0.42375200000000002</v>
      </c>
      <c r="T52" s="3">
        <f ca="1">M52/G52</f>
        <v>0.77045818181818182</v>
      </c>
      <c r="U52" s="3">
        <f t="shared" si="6"/>
        <v>0</v>
      </c>
      <c r="V52" s="1">
        <f t="shared" ca="1" si="7"/>
        <v>75.748800000000003</v>
      </c>
      <c r="W52" t="str">
        <f t="shared" ca="1" si="8"/>
        <v>Needs Monitoring</v>
      </c>
      <c r="X52" t="s">
        <v>453</v>
      </c>
    </row>
    <row r="53" spans="1:24" x14ac:dyDescent="0.25">
      <c r="A53" s="2">
        <v>45893</v>
      </c>
      <c r="B53">
        <f t="shared" ca="1" si="0"/>
        <v>467</v>
      </c>
      <c r="C53" s="1">
        <v>6000000</v>
      </c>
      <c r="D53" s="1">
        <v>9000</v>
      </c>
      <c r="E53" s="1">
        <f t="shared" si="1"/>
        <v>54000</v>
      </c>
      <c r="F53" s="1">
        <v>50000</v>
      </c>
      <c r="G53" s="1">
        <f t="shared" ca="1" si="2"/>
        <v>4203000</v>
      </c>
      <c r="H53" t="s">
        <v>346</v>
      </c>
      <c r="I53" t="s">
        <v>14</v>
      </c>
      <c r="J53" t="s">
        <v>118</v>
      </c>
      <c r="K53" t="s">
        <v>20</v>
      </c>
      <c r="L53">
        <v>1000000051</v>
      </c>
      <c r="M53" s="1">
        <v>2713532</v>
      </c>
      <c r="N53" s="1">
        <v>32500</v>
      </c>
      <c r="O53" s="1">
        <f t="shared" ca="1" si="3"/>
        <v>1489468</v>
      </c>
      <c r="P53" s="1">
        <f>C53-M53</f>
        <v>3286468</v>
      </c>
      <c r="Q53" t="str">
        <f t="shared" ca="1" si="4"/>
        <v>Non-compliant</v>
      </c>
      <c r="R53" t="s">
        <v>117</v>
      </c>
      <c r="S53" s="3">
        <f t="shared" si="5"/>
        <v>0.45225533333333334</v>
      </c>
      <c r="T53" s="3">
        <f ca="1">M53/G53</f>
        <v>0.64561789198191766</v>
      </c>
      <c r="U53" s="3">
        <f t="shared" si="6"/>
        <v>0.60185185185185186</v>
      </c>
      <c r="V53" s="1">
        <f t="shared" ca="1" si="7"/>
        <v>165.49644444444445</v>
      </c>
      <c r="W53" t="str">
        <f t="shared" ca="1" si="8"/>
        <v>Poor</v>
      </c>
      <c r="X53" t="s">
        <v>453</v>
      </c>
    </row>
    <row r="54" spans="1:24" x14ac:dyDescent="0.25">
      <c r="A54" s="2">
        <v>45734</v>
      </c>
      <c r="B54">
        <f t="shared" ca="1" si="0"/>
        <v>367</v>
      </c>
      <c r="C54" s="1">
        <v>6000000</v>
      </c>
      <c r="D54" s="1">
        <v>10000</v>
      </c>
      <c r="E54" s="1">
        <f t="shared" si="1"/>
        <v>60000</v>
      </c>
      <c r="F54" s="1">
        <v>50000</v>
      </c>
      <c r="G54" s="1">
        <f t="shared" ca="1" si="2"/>
        <v>3670000</v>
      </c>
      <c r="H54" t="s">
        <v>347</v>
      </c>
      <c r="I54" t="s">
        <v>14</v>
      </c>
      <c r="J54" t="s">
        <v>119</v>
      </c>
      <c r="K54" t="s">
        <v>120</v>
      </c>
      <c r="L54">
        <v>1000000052</v>
      </c>
      <c r="M54" s="1">
        <v>4421074</v>
      </c>
      <c r="N54" s="1">
        <v>51000</v>
      </c>
      <c r="O54" s="1">
        <f t="shared" ca="1" si="3"/>
        <v>-751074</v>
      </c>
      <c r="P54" s="1">
        <f>C54-M54</f>
        <v>1578926</v>
      </c>
      <c r="Q54" t="str">
        <f t="shared" ca="1" si="4"/>
        <v>Compliant</v>
      </c>
      <c r="R54" t="s">
        <v>117</v>
      </c>
      <c r="S54" s="3">
        <f t="shared" si="5"/>
        <v>0.73684566666666662</v>
      </c>
      <c r="T54" s="3">
        <f ca="1">M54/G54</f>
        <v>1.2046523160762943</v>
      </c>
      <c r="U54" s="3">
        <f t="shared" si="6"/>
        <v>0.85</v>
      </c>
      <c r="V54" s="1">
        <f t="shared" ca="1" si="7"/>
        <v>-75.107399999999998</v>
      </c>
      <c r="W54" t="str">
        <f t="shared" ca="1" si="8"/>
        <v>Good</v>
      </c>
      <c r="X54" t="s">
        <v>452</v>
      </c>
    </row>
    <row r="55" spans="1:24" x14ac:dyDescent="0.25">
      <c r="A55" s="2">
        <v>45850</v>
      </c>
      <c r="B55">
        <f t="shared" ca="1" si="0"/>
        <v>383</v>
      </c>
      <c r="C55" s="1">
        <v>6000000</v>
      </c>
      <c r="D55" s="1">
        <v>10000</v>
      </c>
      <c r="E55" s="1">
        <f t="shared" si="1"/>
        <v>60000</v>
      </c>
      <c r="F55" s="1">
        <v>100000</v>
      </c>
      <c r="G55" s="1">
        <f t="shared" ca="1" si="2"/>
        <v>3830000</v>
      </c>
      <c r="H55" t="s">
        <v>348</v>
      </c>
      <c r="I55" t="s">
        <v>14</v>
      </c>
      <c r="J55" t="s">
        <v>121</v>
      </c>
      <c r="K55" t="s">
        <v>122</v>
      </c>
      <c r="L55">
        <v>1000000053</v>
      </c>
      <c r="M55" s="1">
        <v>4875442</v>
      </c>
      <c r="N55" s="1">
        <v>70000</v>
      </c>
      <c r="O55" s="1">
        <f t="shared" ca="1" si="3"/>
        <v>-1045442</v>
      </c>
      <c r="P55" s="1">
        <f>C55-M55</f>
        <v>1124558</v>
      </c>
      <c r="Q55" t="str">
        <f t="shared" ca="1" si="4"/>
        <v>Compliant</v>
      </c>
      <c r="R55" t="s">
        <v>117</v>
      </c>
      <c r="S55" s="3">
        <f t="shared" si="5"/>
        <v>0.81257366666666664</v>
      </c>
      <c r="T55" s="3">
        <f ca="1">M55/G55</f>
        <v>1.27296135770235</v>
      </c>
      <c r="U55" s="3">
        <f t="shared" si="6"/>
        <v>1.1666666666666667</v>
      </c>
      <c r="V55" s="1">
        <f t="shared" ca="1" si="7"/>
        <v>-104.5442</v>
      </c>
      <c r="W55" t="str">
        <f t="shared" ca="1" si="8"/>
        <v>Good</v>
      </c>
      <c r="X55" t="s">
        <v>452</v>
      </c>
    </row>
    <row r="56" spans="1:24" x14ac:dyDescent="0.25">
      <c r="A56" s="2">
        <v>45832</v>
      </c>
      <c r="B56">
        <f t="shared" ca="1" si="0"/>
        <v>404</v>
      </c>
      <c r="C56" s="1">
        <v>6000000</v>
      </c>
      <c r="D56" s="1">
        <v>9000</v>
      </c>
      <c r="E56" s="1">
        <f t="shared" si="1"/>
        <v>54000</v>
      </c>
      <c r="F56" s="1">
        <v>75000</v>
      </c>
      <c r="G56" s="1">
        <f t="shared" ca="1" si="2"/>
        <v>3636000</v>
      </c>
      <c r="H56" t="s">
        <v>349</v>
      </c>
      <c r="I56" t="s">
        <v>14</v>
      </c>
      <c r="J56" t="s">
        <v>123</v>
      </c>
      <c r="K56" t="s">
        <v>124</v>
      </c>
      <c r="L56">
        <v>1000000054</v>
      </c>
      <c r="M56" s="1">
        <v>3529238</v>
      </c>
      <c r="N56" s="1">
        <v>55000</v>
      </c>
      <c r="O56" s="1">
        <f t="shared" ca="1" si="3"/>
        <v>106762</v>
      </c>
      <c r="P56" s="1">
        <f>C56-M56</f>
        <v>2470762</v>
      </c>
      <c r="Q56" t="str">
        <f t="shared" ca="1" si="4"/>
        <v>Non-compliant</v>
      </c>
      <c r="R56" t="s">
        <v>117</v>
      </c>
      <c r="S56" s="3">
        <f t="shared" si="5"/>
        <v>0.58820633333333339</v>
      </c>
      <c r="T56" s="3">
        <f ca="1">M56/G56</f>
        <v>0.97063751375137519</v>
      </c>
      <c r="U56" s="3">
        <f t="shared" si="6"/>
        <v>1.0185185185185186</v>
      </c>
      <c r="V56" s="1">
        <f t="shared" ca="1" si="7"/>
        <v>11.862444444444444</v>
      </c>
      <c r="W56" t="str">
        <f t="shared" ca="1" si="8"/>
        <v>Good</v>
      </c>
      <c r="X56" t="s">
        <v>453</v>
      </c>
    </row>
    <row r="57" spans="1:24" x14ac:dyDescent="0.25">
      <c r="A57" s="2">
        <v>45807</v>
      </c>
      <c r="B57">
        <f t="shared" ca="1" si="0"/>
        <v>360</v>
      </c>
      <c r="C57" s="1">
        <v>6000000</v>
      </c>
      <c r="D57" s="1">
        <v>10000</v>
      </c>
      <c r="E57" s="1">
        <f t="shared" si="1"/>
        <v>60000</v>
      </c>
      <c r="F57" s="1">
        <v>75000</v>
      </c>
      <c r="G57" s="1">
        <f t="shared" ca="1" si="2"/>
        <v>3600000</v>
      </c>
      <c r="H57" t="s">
        <v>350</v>
      </c>
      <c r="I57" t="s">
        <v>142</v>
      </c>
      <c r="J57" t="s">
        <v>125</v>
      </c>
      <c r="K57" t="s">
        <v>126</v>
      </c>
      <c r="L57">
        <v>1000000055</v>
      </c>
      <c r="M57" s="1">
        <v>2505084</v>
      </c>
      <c r="N57" s="1">
        <v>0</v>
      </c>
      <c r="O57" s="1">
        <f t="shared" ca="1" si="3"/>
        <v>1094916</v>
      </c>
      <c r="P57" s="1">
        <f>C57-M57</f>
        <v>3494916</v>
      </c>
      <c r="Q57" t="str">
        <f t="shared" ca="1" si="4"/>
        <v>Non-compliant</v>
      </c>
      <c r="R57" t="s">
        <v>117</v>
      </c>
      <c r="S57" s="3">
        <f t="shared" si="5"/>
        <v>0.417514</v>
      </c>
      <c r="T57" s="3">
        <f ca="1">M57/G57</f>
        <v>0.69585666666666668</v>
      </c>
      <c r="U57" s="3">
        <f t="shared" si="6"/>
        <v>0</v>
      </c>
      <c r="V57" s="1">
        <f t="shared" ca="1" si="7"/>
        <v>109.49160000000001</v>
      </c>
      <c r="W57" t="str">
        <f t="shared" ca="1" si="8"/>
        <v>Poor</v>
      </c>
      <c r="X57" t="s">
        <v>452</v>
      </c>
    </row>
    <row r="58" spans="1:24" x14ac:dyDescent="0.25">
      <c r="A58" s="2">
        <v>45859</v>
      </c>
      <c r="B58">
        <f t="shared" ca="1" si="0"/>
        <v>336</v>
      </c>
      <c r="C58" s="1">
        <v>6000000</v>
      </c>
      <c r="D58" s="1">
        <v>9000</v>
      </c>
      <c r="E58" s="1">
        <f t="shared" si="1"/>
        <v>54000</v>
      </c>
      <c r="F58" s="1">
        <v>100000</v>
      </c>
      <c r="G58" s="1">
        <f t="shared" ca="1" si="2"/>
        <v>3024000</v>
      </c>
      <c r="H58" t="s">
        <v>351</v>
      </c>
      <c r="I58" t="s">
        <v>14</v>
      </c>
      <c r="J58" t="s">
        <v>127</v>
      </c>
      <c r="K58" t="s">
        <v>128</v>
      </c>
      <c r="L58">
        <v>1000000056</v>
      </c>
      <c r="M58" s="1">
        <v>3196333</v>
      </c>
      <c r="N58" s="1">
        <v>56500</v>
      </c>
      <c r="O58" s="1">
        <f t="shared" ca="1" si="3"/>
        <v>-172333</v>
      </c>
      <c r="P58" s="1">
        <f>C58-M58</f>
        <v>2803667</v>
      </c>
      <c r="Q58" t="str">
        <f t="shared" ca="1" si="4"/>
        <v>Compliant</v>
      </c>
      <c r="R58" t="s">
        <v>117</v>
      </c>
      <c r="S58" s="3">
        <f t="shared" si="5"/>
        <v>0.53272216666666672</v>
      </c>
      <c r="T58" s="3">
        <f ca="1">M58/G58</f>
        <v>1.0569884259259259</v>
      </c>
      <c r="U58" s="3">
        <f t="shared" si="6"/>
        <v>1.0462962962962963</v>
      </c>
      <c r="V58" s="1">
        <f t="shared" ca="1" si="7"/>
        <v>-19.14811111111111</v>
      </c>
      <c r="W58" t="str">
        <f t="shared" ca="1" si="8"/>
        <v>Good</v>
      </c>
      <c r="X58" t="s">
        <v>453</v>
      </c>
    </row>
    <row r="59" spans="1:24" x14ac:dyDescent="0.25">
      <c r="A59" s="2">
        <v>45886</v>
      </c>
      <c r="B59">
        <f t="shared" ca="1" si="0"/>
        <v>431</v>
      </c>
      <c r="C59" s="1">
        <v>6000000</v>
      </c>
      <c r="D59" s="1">
        <v>10000</v>
      </c>
      <c r="E59" s="1">
        <f t="shared" si="1"/>
        <v>60000</v>
      </c>
      <c r="F59" s="1">
        <v>75000</v>
      </c>
      <c r="G59" s="1">
        <f t="shared" ca="1" si="2"/>
        <v>4310000</v>
      </c>
      <c r="H59" t="s">
        <v>352</v>
      </c>
      <c r="I59" t="s">
        <v>14</v>
      </c>
      <c r="J59" t="s">
        <v>129</v>
      </c>
      <c r="K59" t="s">
        <v>114</v>
      </c>
      <c r="L59">
        <v>1000000057</v>
      </c>
      <c r="M59" s="1">
        <v>3164058</v>
      </c>
      <c r="N59" s="1">
        <v>58500</v>
      </c>
      <c r="O59" s="1">
        <f t="shared" ca="1" si="3"/>
        <v>1145942</v>
      </c>
      <c r="P59" s="1">
        <f>C59-M59</f>
        <v>2835942</v>
      </c>
      <c r="Q59" t="str">
        <f t="shared" ca="1" si="4"/>
        <v>Non-compliant</v>
      </c>
      <c r="R59" t="s">
        <v>117</v>
      </c>
      <c r="S59" s="3">
        <f t="shared" si="5"/>
        <v>0.52734300000000001</v>
      </c>
      <c r="T59" s="3">
        <f ca="1">M59/G59</f>
        <v>0.73412018561484915</v>
      </c>
      <c r="U59" s="3">
        <f t="shared" si="6"/>
        <v>0.97499999999999998</v>
      </c>
      <c r="V59" s="1">
        <f t="shared" ca="1" si="7"/>
        <v>114.5942</v>
      </c>
      <c r="W59" t="str">
        <f t="shared" ca="1" si="8"/>
        <v>Needs Monitoring</v>
      </c>
      <c r="X59" t="s">
        <v>452</v>
      </c>
    </row>
    <row r="60" spans="1:24" x14ac:dyDescent="0.25">
      <c r="A60" s="2">
        <v>45776</v>
      </c>
      <c r="B60">
        <f t="shared" ca="1" si="0"/>
        <v>432</v>
      </c>
      <c r="C60" s="1">
        <v>6000000</v>
      </c>
      <c r="D60" s="1">
        <v>10000</v>
      </c>
      <c r="E60" s="1">
        <f t="shared" si="1"/>
        <v>60000</v>
      </c>
      <c r="F60" s="1">
        <v>100000</v>
      </c>
      <c r="G60" s="1">
        <f t="shared" ca="1" si="2"/>
        <v>4320000</v>
      </c>
      <c r="H60" t="s">
        <v>353</v>
      </c>
      <c r="I60" t="s">
        <v>14</v>
      </c>
      <c r="J60" t="s">
        <v>130</v>
      </c>
      <c r="K60" t="s">
        <v>131</v>
      </c>
      <c r="L60">
        <v>1000000058</v>
      </c>
      <c r="M60" s="1">
        <v>3344460</v>
      </c>
      <c r="N60" s="1">
        <v>0</v>
      </c>
      <c r="O60" s="1">
        <f t="shared" ca="1" si="3"/>
        <v>975540</v>
      </c>
      <c r="P60" s="1">
        <f>C60-M60</f>
        <v>2655540</v>
      </c>
      <c r="Q60" t="str">
        <f t="shared" ca="1" si="4"/>
        <v>Non-compliant</v>
      </c>
      <c r="R60" t="s">
        <v>117</v>
      </c>
      <c r="S60" s="3">
        <f t="shared" si="5"/>
        <v>0.55740999999999996</v>
      </c>
      <c r="T60" s="3">
        <f ca="1">M60/G60</f>
        <v>0.77418055555555554</v>
      </c>
      <c r="U60" s="3">
        <f t="shared" si="6"/>
        <v>0</v>
      </c>
      <c r="V60" s="1">
        <f t="shared" ca="1" si="7"/>
        <v>97.554000000000002</v>
      </c>
      <c r="W60" t="str">
        <f t="shared" ca="1" si="8"/>
        <v>Needs Monitoring</v>
      </c>
      <c r="X60" t="s">
        <v>453</v>
      </c>
    </row>
    <row r="61" spans="1:24" x14ac:dyDescent="0.25">
      <c r="A61" s="2">
        <v>45775</v>
      </c>
      <c r="B61">
        <f t="shared" ca="1" si="0"/>
        <v>342</v>
      </c>
      <c r="C61" s="1">
        <v>6000000</v>
      </c>
      <c r="D61" s="1">
        <v>10000</v>
      </c>
      <c r="E61" s="1">
        <f t="shared" si="1"/>
        <v>60000</v>
      </c>
      <c r="F61" s="1">
        <v>50000</v>
      </c>
      <c r="G61" s="1">
        <f t="shared" ca="1" si="2"/>
        <v>3420000</v>
      </c>
      <c r="H61" t="s">
        <v>354</v>
      </c>
      <c r="I61" t="s">
        <v>14</v>
      </c>
      <c r="J61" t="s">
        <v>132</v>
      </c>
      <c r="K61" t="s">
        <v>133</v>
      </c>
      <c r="L61">
        <v>1000000059</v>
      </c>
      <c r="M61" s="1">
        <v>5134715</v>
      </c>
      <c r="N61" s="1">
        <v>54000</v>
      </c>
      <c r="O61" s="1">
        <f t="shared" ca="1" si="3"/>
        <v>-1714715</v>
      </c>
      <c r="P61" s="1">
        <f>C61-M61</f>
        <v>865285</v>
      </c>
      <c r="Q61" t="str">
        <f t="shared" ca="1" si="4"/>
        <v>Compliant</v>
      </c>
      <c r="R61" t="s">
        <v>117</v>
      </c>
      <c r="S61" s="3">
        <f t="shared" si="5"/>
        <v>0.85578583333333336</v>
      </c>
      <c r="T61" s="3">
        <f ca="1">M61/G61</f>
        <v>1.5013786549707602</v>
      </c>
      <c r="U61" s="3">
        <f t="shared" si="6"/>
        <v>0.9</v>
      </c>
      <c r="V61" s="1">
        <f t="shared" ca="1" si="7"/>
        <v>-171.47149999999999</v>
      </c>
      <c r="W61" t="str">
        <f t="shared" ca="1" si="8"/>
        <v>Good</v>
      </c>
      <c r="X61" t="s">
        <v>452</v>
      </c>
    </row>
    <row r="62" spans="1:24" x14ac:dyDescent="0.25">
      <c r="A62" s="2">
        <v>45880</v>
      </c>
      <c r="B62">
        <f t="shared" ca="1" si="0"/>
        <v>456</v>
      </c>
      <c r="C62" s="1">
        <v>6000000</v>
      </c>
      <c r="D62" s="1">
        <v>11000</v>
      </c>
      <c r="E62" s="1">
        <f t="shared" si="1"/>
        <v>66000</v>
      </c>
      <c r="F62" s="1">
        <v>50000</v>
      </c>
      <c r="G62" s="1">
        <f t="shared" ca="1" si="2"/>
        <v>5016000</v>
      </c>
      <c r="H62" t="s">
        <v>355</v>
      </c>
      <c r="I62" t="s">
        <v>14</v>
      </c>
      <c r="J62" t="s">
        <v>134</v>
      </c>
      <c r="K62" t="s">
        <v>135</v>
      </c>
      <c r="L62">
        <v>1000000060</v>
      </c>
      <c r="M62" s="1">
        <v>4220989</v>
      </c>
      <c r="N62" s="1">
        <v>0</v>
      </c>
      <c r="O62" s="1">
        <f t="shared" ca="1" si="3"/>
        <v>795011</v>
      </c>
      <c r="P62" s="1">
        <f>C62-M62</f>
        <v>1779011</v>
      </c>
      <c r="Q62" t="str">
        <f t="shared" ca="1" si="4"/>
        <v>Non-compliant</v>
      </c>
      <c r="R62" t="s">
        <v>117</v>
      </c>
      <c r="S62" s="3">
        <f t="shared" si="5"/>
        <v>0.70349816666666665</v>
      </c>
      <c r="T62" s="3">
        <f ca="1">M62/G62</f>
        <v>0.84150498405103669</v>
      </c>
      <c r="U62" s="3">
        <f t="shared" si="6"/>
        <v>0</v>
      </c>
      <c r="V62" s="1">
        <f t="shared" ca="1" si="7"/>
        <v>72.273727272727271</v>
      </c>
      <c r="W62" t="str">
        <f t="shared" ca="1" si="8"/>
        <v>Needs Monitoring</v>
      </c>
      <c r="X62" t="s">
        <v>452</v>
      </c>
    </row>
    <row r="63" spans="1:24" x14ac:dyDescent="0.25">
      <c r="A63" s="2">
        <v>45746</v>
      </c>
      <c r="B63">
        <f t="shared" ca="1" si="0"/>
        <v>360</v>
      </c>
      <c r="C63" s="1">
        <v>6000000</v>
      </c>
      <c r="D63" s="1">
        <v>10000</v>
      </c>
      <c r="E63" s="1">
        <f t="shared" si="1"/>
        <v>60000</v>
      </c>
      <c r="F63" s="1">
        <v>75000</v>
      </c>
      <c r="G63" s="1">
        <f t="shared" ca="1" si="2"/>
        <v>3600000</v>
      </c>
      <c r="H63" t="s">
        <v>356</v>
      </c>
      <c r="I63" t="s">
        <v>14</v>
      </c>
      <c r="J63" t="s">
        <v>136</v>
      </c>
      <c r="K63" t="s">
        <v>137</v>
      </c>
      <c r="L63">
        <v>1000000061</v>
      </c>
      <c r="M63" s="1">
        <v>4521771</v>
      </c>
      <c r="N63" s="1">
        <v>45500</v>
      </c>
      <c r="O63" s="1">
        <f t="shared" ca="1" si="3"/>
        <v>-921771</v>
      </c>
      <c r="P63" s="1">
        <f>C63-M63</f>
        <v>1478229</v>
      </c>
      <c r="Q63" t="str">
        <f t="shared" ca="1" si="4"/>
        <v>Compliant</v>
      </c>
      <c r="R63" t="s">
        <v>117</v>
      </c>
      <c r="S63" s="3">
        <f t="shared" si="5"/>
        <v>0.75362850000000003</v>
      </c>
      <c r="T63" s="3">
        <f ca="1">M63/G63</f>
        <v>1.2560475</v>
      </c>
      <c r="U63" s="3">
        <f t="shared" si="6"/>
        <v>0.7583333333333333</v>
      </c>
      <c r="V63" s="1">
        <f t="shared" ca="1" si="7"/>
        <v>-92.177099999999996</v>
      </c>
      <c r="W63" t="str">
        <f t="shared" ca="1" si="8"/>
        <v>Good</v>
      </c>
      <c r="X63" t="s">
        <v>453</v>
      </c>
    </row>
    <row r="64" spans="1:24" x14ac:dyDescent="0.25">
      <c r="A64" s="2">
        <v>45859</v>
      </c>
      <c r="B64">
        <f t="shared" ca="1" si="0"/>
        <v>414</v>
      </c>
      <c r="C64" s="1">
        <v>6000000</v>
      </c>
      <c r="D64" s="1">
        <v>11000</v>
      </c>
      <c r="E64" s="1">
        <f t="shared" si="1"/>
        <v>66000</v>
      </c>
      <c r="F64" s="1">
        <v>100000</v>
      </c>
      <c r="G64" s="1">
        <f t="shared" ca="1" si="2"/>
        <v>4554000</v>
      </c>
      <c r="H64" t="s">
        <v>357</v>
      </c>
      <c r="I64" t="s">
        <v>14</v>
      </c>
      <c r="J64" t="s">
        <v>103</v>
      </c>
      <c r="K64" t="s">
        <v>138</v>
      </c>
      <c r="L64">
        <v>1000000062</v>
      </c>
      <c r="M64" s="1">
        <v>4294059</v>
      </c>
      <c r="N64" s="1">
        <v>77000</v>
      </c>
      <c r="O64" s="1">
        <f t="shared" ca="1" si="3"/>
        <v>259941</v>
      </c>
      <c r="P64" s="1">
        <f>C64-M64</f>
        <v>1705941</v>
      </c>
      <c r="Q64" t="str">
        <f t="shared" ca="1" si="4"/>
        <v>Non-compliant</v>
      </c>
      <c r="R64" t="s">
        <v>117</v>
      </c>
      <c r="S64" s="3">
        <f t="shared" si="5"/>
        <v>0.71567650000000005</v>
      </c>
      <c r="T64" s="3">
        <f ca="1">M64/G64</f>
        <v>0.94292028985507248</v>
      </c>
      <c r="U64" s="3">
        <f t="shared" si="6"/>
        <v>1.1666666666666667</v>
      </c>
      <c r="V64" s="1">
        <f t="shared" ca="1" si="7"/>
        <v>23.631</v>
      </c>
      <c r="W64" t="str">
        <f t="shared" ca="1" si="8"/>
        <v>Good</v>
      </c>
      <c r="X64" t="s">
        <v>452</v>
      </c>
    </row>
    <row r="65" spans="1:24" x14ac:dyDescent="0.25">
      <c r="A65" s="2">
        <v>45795</v>
      </c>
      <c r="B65">
        <f t="shared" ca="1" si="0"/>
        <v>481</v>
      </c>
      <c r="C65" s="1">
        <v>6000000</v>
      </c>
      <c r="D65" s="1">
        <v>10000</v>
      </c>
      <c r="E65" s="1">
        <f t="shared" si="1"/>
        <v>60000</v>
      </c>
      <c r="F65" s="1">
        <v>100000</v>
      </c>
      <c r="G65" s="1">
        <f t="shared" ca="1" si="2"/>
        <v>4810000</v>
      </c>
      <c r="H65" t="s">
        <v>358</v>
      </c>
      <c r="I65" t="s">
        <v>496</v>
      </c>
      <c r="J65" t="s">
        <v>139</v>
      </c>
      <c r="K65" t="s">
        <v>140</v>
      </c>
      <c r="L65">
        <v>1000000063</v>
      </c>
      <c r="M65" s="1">
        <v>2627918</v>
      </c>
      <c r="N65" s="1">
        <v>0</v>
      </c>
      <c r="O65" s="1">
        <f t="shared" ca="1" si="3"/>
        <v>2182082</v>
      </c>
      <c r="P65" s="1">
        <f>C65-M65</f>
        <v>3372082</v>
      </c>
      <c r="Q65" t="str">
        <f t="shared" ca="1" si="4"/>
        <v>Non-compliant</v>
      </c>
      <c r="R65" t="s">
        <v>117</v>
      </c>
      <c r="S65" s="3">
        <f t="shared" si="5"/>
        <v>0.43798633333333331</v>
      </c>
      <c r="T65" s="3">
        <f ca="1">M65/G65</f>
        <v>0.54634469854469858</v>
      </c>
      <c r="U65" s="3">
        <f t="shared" si="6"/>
        <v>0</v>
      </c>
      <c r="V65" s="1">
        <f t="shared" ca="1" si="7"/>
        <v>218.20820000000001</v>
      </c>
      <c r="W65" t="str">
        <f t="shared" ca="1" si="8"/>
        <v>Poor</v>
      </c>
      <c r="X65" t="s">
        <v>453</v>
      </c>
    </row>
    <row r="66" spans="1:24" x14ac:dyDescent="0.25">
      <c r="A66" s="2">
        <v>45717</v>
      </c>
      <c r="B66">
        <f t="shared" ca="1" si="0"/>
        <v>431</v>
      </c>
      <c r="C66" s="1">
        <v>6000000</v>
      </c>
      <c r="D66" s="1">
        <v>11000</v>
      </c>
      <c r="E66" s="1">
        <f t="shared" si="1"/>
        <v>66000</v>
      </c>
      <c r="F66" s="1">
        <v>75000</v>
      </c>
      <c r="G66" s="1">
        <f t="shared" ca="1" si="2"/>
        <v>4741000</v>
      </c>
      <c r="H66" t="s">
        <v>359</v>
      </c>
      <c r="I66" t="s">
        <v>14</v>
      </c>
      <c r="J66" t="s">
        <v>141</v>
      </c>
      <c r="K66" t="s">
        <v>63</v>
      </c>
      <c r="L66">
        <v>1000000064</v>
      </c>
      <c r="M66" s="1">
        <v>5272616</v>
      </c>
      <c r="N66" s="1">
        <v>63000</v>
      </c>
      <c r="O66" s="1">
        <f t="shared" ca="1" si="3"/>
        <v>-531616</v>
      </c>
      <c r="P66" s="1">
        <f>C66-M66</f>
        <v>727384</v>
      </c>
      <c r="Q66" t="str">
        <f t="shared" ca="1" si="4"/>
        <v>Compliant</v>
      </c>
      <c r="R66" t="s">
        <v>117</v>
      </c>
      <c r="S66" s="3">
        <f t="shared" si="5"/>
        <v>0.87876933333333329</v>
      </c>
      <c r="T66" s="3">
        <f ca="1">M66/G66</f>
        <v>1.1121316178021514</v>
      </c>
      <c r="U66" s="3">
        <f t="shared" si="6"/>
        <v>0.95454545454545459</v>
      </c>
      <c r="V66" s="1">
        <f t="shared" ca="1" si="7"/>
        <v>-48.328727272727271</v>
      </c>
      <c r="W66" t="str">
        <f t="shared" ca="1" si="8"/>
        <v>Good</v>
      </c>
      <c r="X66" t="s">
        <v>452</v>
      </c>
    </row>
    <row r="67" spans="1:24" x14ac:dyDescent="0.25">
      <c r="A67" s="2">
        <v>45776</v>
      </c>
      <c r="B67">
        <f t="shared" ref="B67:B130" ca="1" si="9">NETWORKDAYS.INTL(A68,TODAY(),11)</f>
        <v>466</v>
      </c>
      <c r="C67" s="1">
        <v>6000000</v>
      </c>
      <c r="D67" s="1">
        <v>10000</v>
      </c>
      <c r="E67" s="1">
        <f t="shared" ref="E67:E130" si="10">D67*6</f>
        <v>60000</v>
      </c>
      <c r="F67" s="1">
        <v>100000</v>
      </c>
      <c r="G67" s="1">
        <f t="shared" ref="G67:G130" ca="1" si="11">B67*D67</f>
        <v>4660000</v>
      </c>
      <c r="H67" t="s">
        <v>360</v>
      </c>
      <c r="I67" t="s">
        <v>14</v>
      </c>
      <c r="J67" t="s">
        <v>143</v>
      </c>
      <c r="K67" t="s">
        <v>32</v>
      </c>
      <c r="L67">
        <v>1000000065</v>
      </c>
      <c r="M67" s="1">
        <v>2965388</v>
      </c>
      <c r="N67" s="1">
        <v>42000</v>
      </c>
      <c r="O67" s="1">
        <f t="shared" ref="O67:O130" ca="1" si="12">G67-M67</f>
        <v>1694612</v>
      </c>
      <c r="P67" s="1">
        <f>C67-M67</f>
        <v>3034612</v>
      </c>
      <c r="Q67" t="str">
        <f t="shared" ref="Q67:Q130" ca="1" si="13">IF(O67&gt;15000,"Non-compliant","Compliant")</f>
        <v>Non-compliant</v>
      </c>
      <c r="R67" t="s">
        <v>117</v>
      </c>
      <c r="S67" s="3">
        <f t="shared" ref="S67:S130" si="14">M67/C67</f>
        <v>0.49423133333333336</v>
      </c>
      <c r="T67" s="3">
        <f ca="1">M67/G67</f>
        <v>0.63634935622317601</v>
      </c>
      <c r="U67" s="3">
        <f t="shared" ref="U67:U130" si="15">N67/E67</f>
        <v>0.7</v>
      </c>
      <c r="V67" s="1">
        <f t="shared" ref="V67:V130" ca="1" si="16">O67/D67</f>
        <v>169.46119999999999</v>
      </c>
      <c r="W67" t="str">
        <f t="shared" ref="W67:W130" ca="1" si="17">IF(T67&gt;=0.9,"Good",IF(T67&gt;=0.7,"Needs Monitoring","Poor"))</f>
        <v>Poor</v>
      </c>
      <c r="X67" t="s">
        <v>452</v>
      </c>
    </row>
    <row r="68" spans="1:24" x14ac:dyDescent="0.25">
      <c r="A68" s="2">
        <v>45735</v>
      </c>
      <c r="B68">
        <f t="shared" ca="1" si="9"/>
        <v>372</v>
      </c>
      <c r="C68" s="1">
        <v>6000000</v>
      </c>
      <c r="D68" s="1">
        <v>10000</v>
      </c>
      <c r="E68" s="1">
        <f t="shared" si="10"/>
        <v>60000</v>
      </c>
      <c r="F68" s="1">
        <v>50000</v>
      </c>
      <c r="G68" s="1">
        <f t="shared" ca="1" si="11"/>
        <v>3720000</v>
      </c>
      <c r="H68" t="s">
        <v>361</v>
      </c>
      <c r="I68" t="s">
        <v>14</v>
      </c>
      <c r="J68" t="s">
        <v>144</v>
      </c>
      <c r="K68" t="s">
        <v>145</v>
      </c>
      <c r="L68">
        <v>1000000066</v>
      </c>
      <c r="M68" s="1">
        <v>2905256</v>
      </c>
      <c r="N68" s="1">
        <v>28500</v>
      </c>
      <c r="O68" s="1">
        <f t="shared" ca="1" si="12"/>
        <v>814744</v>
      </c>
      <c r="P68" s="1">
        <f>C68-M68</f>
        <v>3094744</v>
      </c>
      <c r="Q68" t="str">
        <f t="shared" ca="1" si="13"/>
        <v>Non-compliant</v>
      </c>
      <c r="R68" t="s">
        <v>117</v>
      </c>
      <c r="S68" s="3">
        <f t="shared" si="14"/>
        <v>0.48420933333333332</v>
      </c>
      <c r="T68" s="3">
        <f ca="1">M68/G68</f>
        <v>0.7809827956989247</v>
      </c>
      <c r="U68" s="3">
        <f t="shared" si="15"/>
        <v>0.47499999999999998</v>
      </c>
      <c r="V68" s="1">
        <f t="shared" ca="1" si="16"/>
        <v>81.474400000000003</v>
      </c>
      <c r="W68" t="str">
        <f t="shared" ca="1" si="17"/>
        <v>Needs Monitoring</v>
      </c>
      <c r="X68" t="s">
        <v>453</v>
      </c>
    </row>
    <row r="69" spans="1:24" x14ac:dyDescent="0.25">
      <c r="A69" s="2">
        <v>45845</v>
      </c>
      <c r="B69">
        <f t="shared" ca="1" si="9"/>
        <v>334</v>
      </c>
      <c r="C69" s="1">
        <v>6000000</v>
      </c>
      <c r="D69" s="1">
        <v>11000</v>
      </c>
      <c r="E69" s="1">
        <f t="shared" si="10"/>
        <v>66000</v>
      </c>
      <c r="F69" s="1">
        <v>75000</v>
      </c>
      <c r="G69" s="1">
        <f t="shared" ca="1" si="11"/>
        <v>3674000</v>
      </c>
      <c r="H69" t="s">
        <v>362</v>
      </c>
      <c r="I69" t="s">
        <v>142</v>
      </c>
      <c r="J69" t="s">
        <v>146</v>
      </c>
      <c r="K69" t="s">
        <v>147</v>
      </c>
      <c r="L69">
        <v>1000000067</v>
      </c>
      <c r="M69" s="1">
        <v>3292623</v>
      </c>
      <c r="N69" s="1">
        <v>0</v>
      </c>
      <c r="O69" s="1">
        <f t="shared" ca="1" si="12"/>
        <v>381377</v>
      </c>
      <c r="P69" s="1">
        <f>C69-M69</f>
        <v>2707377</v>
      </c>
      <c r="Q69" t="str">
        <f t="shared" ca="1" si="13"/>
        <v>Non-compliant</v>
      </c>
      <c r="R69" t="s">
        <v>117</v>
      </c>
      <c r="S69" s="3">
        <f t="shared" si="14"/>
        <v>0.54877050000000005</v>
      </c>
      <c r="T69" s="3">
        <f ca="1">M69/G69</f>
        <v>0.89619569951007072</v>
      </c>
      <c r="U69" s="3">
        <f t="shared" si="15"/>
        <v>0</v>
      </c>
      <c r="V69" s="1">
        <f t="shared" ca="1" si="16"/>
        <v>34.670636363636362</v>
      </c>
      <c r="W69" t="str">
        <f t="shared" ca="1" si="17"/>
        <v>Needs Monitoring</v>
      </c>
      <c r="X69" t="s">
        <v>453</v>
      </c>
    </row>
    <row r="70" spans="1:24" x14ac:dyDescent="0.25">
      <c r="A70" s="2">
        <v>45889</v>
      </c>
      <c r="B70">
        <f t="shared" ca="1" si="9"/>
        <v>342</v>
      </c>
      <c r="C70" s="1">
        <v>6000000</v>
      </c>
      <c r="D70" s="1">
        <v>10000</v>
      </c>
      <c r="E70" s="1">
        <f t="shared" si="10"/>
        <v>60000</v>
      </c>
      <c r="F70" s="1">
        <v>100000</v>
      </c>
      <c r="G70" s="1">
        <f t="shared" ca="1" si="11"/>
        <v>3420000</v>
      </c>
      <c r="H70" t="s">
        <v>363</v>
      </c>
      <c r="I70" t="s">
        <v>142</v>
      </c>
      <c r="J70" t="s">
        <v>148</v>
      </c>
      <c r="K70" t="s">
        <v>114</v>
      </c>
      <c r="L70">
        <v>1000000068</v>
      </c>
      <c r="M70" s="1">
        <v>2772956</v>
      </c>
      <c r="N70" s="1">
        <v>0</v>
      </c>
      <c r="O70" s="1">
        <f t="shared" ca="1" si="12"/>
        <v>647044</v>
      </c>
      <c r="P70" s="1">
        <f>C70-M70</f>
        <v>3227044</v>
      </c>
      <c r="Q70" t="str">
        <f t="shared" ca="1" si="13"/>
        <v>Non-compliant</v>
      </c>
      <c r="R70" t="s">
        <v>117</v>
      </c>
      <c r="S70" s="3">
        <f t="shared" si="14"/>
        <v>0.46215933333333331</v>
      </c>
      <c r="T70" s="3">
        <f ca="1">M70/G70</f>
        <v>0.81080584795321642</v>
      </c>
      <c r="U70" s="3">
        <f t="shared" si="15"/>
        <v>0</v>
      </c>
      <c r="V70" s="1">
        <f t="shared" ca="1" si="16"/>
        <v>64.704400000000007</v>
      </c>
      <c r="W70" t="str">
        <f t="shared" ca="1" si="17"/>
        <v>Needs Monitoring</v>
      </c>
      <c r="X70" t="s">
        <v>452</v>
      </c>
    </row>
    <row r="71" spans="1:24" x14ac:dyDescent="0.25">
      <c r="A71" s="2">
        <v>45879</v>
      </c>
      <c r="B71">
        <f t="shared" ca="1" si="9"/>
        <v>336</v>
      </c>
      <c r="C71" s="1">
        <v>6000000</v>
      </c>
      <c r="D71" s="1">
        <v>11000</v>
      </c>
      <c r="E71" s="1">
        <f t="shared" si="10"/>
        <v>66000</v>
      </c>
      <c r="F71" s="1">
        <v>50000</v>
      </c>
      <c r="G71" s="1">
        <f t="shared" ca="1" si="11"/>
        <v>3696000</v>
      </c>
      <c r="H71" t="s">
        <v>364</v>
      </c>
      <c r="I71" t="s">
        <v>14</v>
      </c>
      <c r="J71" t="s">
        <v>149</v>
      </c>
      <c r="K71" t="s">
        <v>150</v>
      </c>
      <c r="L71">
        <v>1000000069</v>
      </c>
      <c r="M71" s="1">
        <v>4247372</v>
      </c>
      <c r="N71" s="1">
        <v>57500</v>
      </c>
      <c r="O71" s="1">
        <f t="shared" ca="1" si="12"/>
        <v>-551372</v>
      </c>
      <c r="P71" s="1">
        <f>C71-M71</f>
        <v>1752628</v>
      </c>
      <c r="Q71" t="str">
        <f t="shared" ca="1" si="13"/>
        <v>Compliant</v>
      </c>
      <c r="R71" t="s">
        <v>117</v>
      </c>
      <c r="S71" s="3">
        <f t="shared" si="14"/>
        <v>0.70789533333333332</v>
      </c>
      <c r="T71" s="3">
        <f ca="1">M71/G71</f>
        <v>1.149180735930736</v>
      </c>
      <c r="U71" s="3">
        <f t="shared" si="15"/>
        <v>0.87121212121212122</v>
      </c>
      <c r="V71" s="1">
        <f t="shared" ca="1" si="16"/>
        <v>-50.12472727272727</v>
      </c>
      <c r="W71" t="str">
        <f t="shared" ca="1" si="17"/>
        <v>Good</v>
      </c>
      <c r="X71" t="s">
        <v>452</v>
      </c>
    </row>
    <row r="72" spans="1:24" x14ac:dyDescent="0.25">
      <c r="A72" s="2">
        <v>45886</v>
      </c>
      <c r="B72">
        <f t="shared" ca="1" si="9"/>
        <v>363</v>
      </c>
      <c r="C72" s="1">
        <v>6000000</v>
      </c>
      <c r="D72" s="1">
        <v>11000</v>
      </c>
      <c r="E72" s="1">
        <f t="shared" si="10"/>
        <v>66000</v>
      </c>
      <c r="F72" s="1">
        <v>100000</v>
      </c>
      <c r="G72" s="1">
        <f t="shared" ca="1" si="11"/>
        <v>3993000</v>
      </c>
      <c r="H72" t="s">
        <v>365</v>
      </c>
      <c r="I72" t="s">
        <v>14</v>
      </c>
      <c r="J72" t="s">
        <v>151</v>
      </c>
      <c r="K72" t="s">
        <v>152</v>
      </c>
      <c r="L72">
        <v>1000000070</v>
      </c>
      <c r="M72" s="1">
        <v>3769368</v>
      </c>
      <c r="N72" s="1">
        <v>32500</v>
      </c>
      <c r="O72" s="1">
        <f t="shared" ca="1" si="12"/>
        <v>223632</v>
      </c>
      <c r="P72" s="1">
        <f>C72-M72</f>
        <v>2230632</v>
      </c>
      <c r="Q72" t="str">
        <f t="shared" ca="1" si="13"/>
        <v>Non-compliant</v>
      </c>
      <c r="R72" t="s">
        <v>117</v>
      </c>
      <c r="S72" s="3">
        <f t="shared" si="14"/>
        <v>0.62822800000000001</v>
      </c>
      <c r="T72" s="3">
        <f ca="1">M72/G72</f>
        <v>0.94399398948159274</v>
      </c>
      <c r="U72" s="3">
        <f t="shared" si="15"/>
        <v>0.49242424242424243</v>
      </c>
      <c r="V72" s="1">
        <f t="shared" ca="1" si="16"/>
        <v>20.330181818181817</v>
      </c>
      <c r="W72" t="str">
        <f t="shared" ca="1" si="17"/>
        <v>Good</v>
      </c>
      <c r="X72" t="s">
        <v>453</v>
      </c>
    </row>
    <row r="73" spans="1:24" x14ac:dyDescent="0.25">
      <c r="A73" s="2">
        <v>45855</v>
      </c>
      <c r="B73">
        <f t="shared" ca="1" si="9"/>
        <v>329</v>
      </c>
      <c r="C73" s="1">
        <v>6000000</v>
      </c>
      <c r="D73" s="1">
        <v>11000</v>
      </c>
      <c r="E73" s="1">
        <f t="shared" si="10"/>
        <v>66000</v>
      </c>
      <c r="F73" s="1">
        <v>75000</v>
      </c>
      <c r="G73" s="1">
        <f t="shared" ca="1" si="11"/>
        <v>3619000</v>
      </c>
      <c r="H73" t="s">
        <v>366</v>
      </c>
      <c r="I73" t="s">
        <v>142</v>
      </c>
      <c r="J73" t="s">
        <v>153</v>
      </c>
      <c r="K73" t="s">
        <v>154</v>
      </c>
      <c r="L73">
        <v>1000000071</v>
      </c>
      <c r="M73" s="1">
        <v>2705370</v>
      </c>
      <c r="N73" s="1">
        <v>0</v>
      </c>
      <c r="O73" s="1">
        <f t="shared" ca="1" si="12"/>
        <v>913630</v>
      </c>
      <c r="P73" s="1">
        <f>C73-M73</f>
        <v>3294630</v>
      </c>
      <c r="Q73" t="str">
        <f t="shared" ca="1" si="13"/>
        <v>Non-compliant</v>
      </c>
      <c r="R73" t="s">
        <v>117</v>
      </c>
      <c r="S73" s="3">
        <f t="shared" si="14"/>
        <v>0.45089499999999999</v>
      </c>
      <c r="T73" s="3">
        <f ca="1">M73/G73</f>
        <v>0.74754628350373031</v>
      </c>
      <c r="U73" s="3">
        <f t="shared" si="15"/>
        <v>0</v>
      </c>
      <c r="V73" s="1">
        <f t="shared" ca="1" si="16"/>
        <v>83.057272727272732</v>
      </c>
      <c r="W73" t="str">
        <f t="shared" ca="1" si="17"/>
        <v>Needs Monitoring</v>
      </c>
      <c r="X73" t="s">
        <v>452</v>
      </c>
    </row>
    <row r="74" spans="1:24" x14ac:dyDescent="0.25">
      <c r="A74" s="2">
        <v>45895</v>
      </c>
      <c r="B74">
        <f t="shared" ca="1" si="9"/>
        <v>432</v>
      </c>
      <c r="C74" s="1">
        <v>6000000</v>
      </c>
      <c r="D74" s="1">
        <v>11000</v>
      </c>
      <c r="E74" s="1">
        <f t="shared" si="10"/>
        <v>66000</v>
      </c>
      <c r="F74" s="1">
        <v>50000</v>
      </c>
      <c r="G74" s="1">
        <f t="shared" ca="1" si="11"/>
        <v>4752000</v>
      </c>
      <c r="H74" t="s">
        <v>367</v>
      </c>
      <c r="I74" t="s">
        <v>14</v>
      </c>
      <c r="J74" t="s">
        <v>155</v>
      </c>
      <c r="K74" t="s">
        <v>156</v>
      </c>
      <c r="L74">
        <v>1000000072</v>
      </c>
      <c r="M74" s="1">
        <v>3704404</v>
      </c>
      <c r="N74" s="1">
        <v>31000</v>
      </c>
      <c r="O74" s="1">
        <f t="shared" ca="1" si="12"/>
        <v>1047596</v>
      </c>
      <c r="P74" s="1">
        <f>C74-M74</f>
        <v>2295596</v>
      </c>
      <c r="Q74" t="str">
        <f t="shared" ca="1" si="13"/>
        <v>Non-compliant</v>
      </c>
      <c r="R74" t="s">
        <v>117</v>
      </c>
      <c r="S74" s="3">
        <f t="shared" si="14"/>
        <v>0.61740066666666671</v>
      </c>
      <c r="T74" s="3">
        <f ca="1">M74/G74</f>
        <v>0.77954629629629635</v>
      </c>
      <c r="U74" s="3">
        <f t="shared" si="15"/>
        <v>0.46969696969696972</v>
      </c>
      <c r="V74" s="1">
        <f t="shared" ca="1" si="16"/>
        <v>95.236000000000004</v>
      </c>
      <c r="W74" t="str">
        <f t="shared" ca="1" si="17"/>
        <v>Needs Monitoring</v>
      </c>
      <c r="X74" t="s">
        <v>453</v>
      </c>
    </row>
    <row r="75" spans="1:24" x14ac:dyDescent="0.25">
      <c r="A75" s="2">
        <v>45774</v>
      </c>
      <c r="B75">
        <f t="shared" ca="1" si="9"/>
        <v>360</v>
      </c>
      <c r="C75" s="1">
        <v>6000000</v>
      </c>
      <c r="D75" s="1">
        <v>10000</v>
      </c>
      <c r="E75" s="1">
        <f t="shared" si="10"/>
        <v>60000</v>
      </c>
      <c r="F75" s="1">
        <v>75000</v>
      </c>
      <c r="G75" s="1">
        <f t="shared" ca="1" si="11"/>
        <v>3600000</v>
      </c>
      <c r="H75" t="s">
        <v>368</v>
      </c>
      <c r="I75" t="s">
        <v>142</v>
      </c>
      <c r="J75" t="s">
        <v>157</v>
      </c>
      <c r="K75" t="s">
        <v>158</v>
      </c>
      <c r="L75">
        <v>1000000073</v>
      </c>
      <c r="M75" s="1">
        <v>2583761</v>
      </c>
      <c r="N75" s="1">
        <v>13000</v>
      </c>
      <c r="O75" s="1">
        <f t="shared" ca="1" si="12"/>
        <v>1016239</v>
      </c>
      <c r="P75" s="1">
        <f>C75-M75</f>
        <v>3416239</v>
      </c>
      <c r="Q75" t="str">
        <f t="shared" ca="1" si="13"/>
        <v>Non-compliant</v>
      </c>
      <c r="R75" t="s">
        <v>117</v>
      </c>
      <c r="S75" s="3">
        <f t="shared" si="14"/>
        <v>0.43062683333333335</v>
      </c>
      <c r="T75" s="3">
        <f ca="1">M75/G75</f>
        <v>0.71771138888888886</v>
      </c>
      <c r="U75" s="3">
        <f t="shared" si="15"/>
        <v>0.21666666666666667</v>
      </c>
      <c r="V75" s="1">
        <f t="shared" ca="1" si="16"/>
        <v>101.62390000000001</v>
      </c>
      <c r="W75" t="str">
        <f t="shared" ca="1" si="17"/>
        <v>Needs Monitoring</v>
      </c>
      <c r="X75" t="s">
        <v>452</v>
      </c>
    </row>
    <row r="76" spans="1:24" x14ac:dyDescent="0.25">
      <c r="A76" s="2">
        <v>45858</v>
      </c>
      <c r="B76">
        <f t="shared" ca="1" si="9"/>
        <v>481</v>
      </c>
      <c r="C76" s="1">
        <v>6000000</v>
      </c>
      <c r="D76" s="1">
        <v>9000</v>
      </c>
      <c r="E76" s="1">
        <f t="shared" si="10"/>
        <v>54000</v>
      </c>
      <c r="F76" s="1">
        <v>75000</v>
      </c>
      <c r="G76" s="1">
        <f t="shared" ca="1" si="11"/>
        <v>4329000</v>
      </c>
      <c r="H76" t="s">
        <v>369</v>
      </c>
      <c r="I76" t="s">
        <v>14</v>
      </c>
      <c r="J76" t="s">
        <v>45</v>
      </c>
      <c r="K76" t="s">
        <v>87</v>
      </c>
      <c r="L76">
        <v>1000000074</v>
      </c>
      <c r="M76" s="1">
        <v>3482558</v>
      </c>
      <c r="N76" s="1">
        <v>34000</v>
      </c>
      <c r="O76" s="1">
        <f t="shared" ca="1" si="12"/>
        <v>846442</v>
      </c>
      <c r="P76" s="1">
        <f>C76-M76</f>
        <v>2517442</v>
      </c>
      <c r="Q76" t="str">
        <f t="shared" ca="1" si="13"/>
        <v>Non-compliant</v>
      </c>
      <c r="R76" t="s">
        <v>117</v>
      </c>
      <c r="S76" s="3">
        <f t="shared" si="14"/>
        <v>0.58042633333333338</v>
      </c>
      <c r="T76" s="3">
        <f ca="1">M76/G76</f>
        <v>0.80447170247170252</v>
      </c>
      <c r="U76" s="3">
        <f t="shared" si="15"/>
        <v>0.62962962962962965</v>
      </c>
      <c r="V76" s="1">
        <f t="shared" ca="1" si="16"/>
        <v>94.049111111111117</v>
      </c>
      <c r="W76" t="str">
        <f t="shared" ca="1" si="17"/>
        <v>Needs Monitoring</v>
      </c>
      <c r="X76" t="s">
        <v>453</v>
      </c>
    </row>
    <row r="77" spans="1:24" x14ac:dyDescent="0.25">
      <c r="A77" s="2">
        <v>45717</v>
      </c>
      <c r="B77">
        <f t="shared" ca="1" si="9"/>
        <v>411</v>
      </c>
      <c r="C77" s="1">
        <v>6000000</v>
      </c>
      <c r="D77" s="1">
        <v>10000</v>
      </c>
      <c r="E77" s="1">
        <f t="shared" si="10"/>
        <v>60000</v>
      </c>
      <c r="F77" s="1">
        <v>100000</v>
      </c>
      <c r="G77" s="1">
        <f t="shared" ca="1" si="11"/>
        <v>4110000</v>
      </c>
      <c r="H77" t="s">
        <v>370</v>
      </c>
      <c r="I77" t="s">
        <v>14</v>
      </c>
      <c r="J77" t="s">
        <v>159</v>
      </c>
      <c r="K77" t="s">
        <v>160</v>
      </c>
      <c r="L77">
        <v>1000000075</v>
      </c>
      <c r="M77" s="1">
        <v>4928441</v>
      </c>
      <c r="N77" s="1">
        <v>45500</v>
      </c>
      <c r="O77" s="1">
        <f t="shared" ca="1" si="12"/>
        <v>-818441</v>
      </c>
      <c r="P77" s="1">
        <f>C77-M77</f>
        <v>1071559</v>
      </c>
      <c r="Q77" t="str">
        <f t="shared" ca="1" si="13"/>
        <v>Compliant</v>
      </c>
      <c r="R77" t="s">
        <v>117</v>
      </c>
      <c r="S77" s="3">
        <f t="shared" si="14"/>
        <v>0.82140683333333331</v>
      </c>
      <c r="T77" s="3">
        <f ca="1">M77/G77</f>
        <v>1.1991340632603407</v>
      </c>
      <c r="U77" s="3">
        <f t="shared" si="15"/>
        <v>0.7583333333333333</v>
      </c>
      <c r="V77" s="1">
        <f t="shared" ca="1" si="16"/>
        <v>-81.844099999999997</v>
      </c>
      <c r="W77" t="str">
        <f t="shared" ca="1" si="17"/>
        <v>Good</v>
      </c>
      <c r="X77" t="s">
        <v>452</v>
      </c>
    </row>
    <row r="78" spans="1:24" x14ac:dyDescent="0.25">
      <c r="A78" s="2">
        <v>45799</v>
      </c>
      <c r="B78">
        <f t="shared" ca="1" si="9"/>
        <v>373</v>
      </c>
      <c r="C78" s="1">
        <v>6000000</v>
      </c>
      <c r="D78" s="1">
        <v>9000</v>
      </c>
      <c r="E78" s="1">
        <f t="shared" si="10"/>
        <v>54000</v>
      </c>
      <c r="F78" s="1">
        <v>100000</v>
      </c>
      <c r="G78" s="1">
        <f t="shared" ca="1" si="11"/>
        <v>3357000</v>
      </c>
      <c r="H78" t="s">
        <v>371</v>
      </c>
      <c r="I78" t="s">
        <v>14</v>
      </c>
      <c r="J78" t="s">
        <v>161</v>
      </c>
      <c r="K78" t="s">
        <v>162</v>
      </c>
      <c r="L78">
        <v>1000000076</v>
      </c>
      <c r="M78" s="1">
        <v>3145605</v>
      </c>
      <c r="N78" s="1">
        <v>27000</v>
      </c>
      <c r="O78" s="1">
        <f t="shared" ca="1" si="12"/>
        <v>211395</v>
      </c>
      <c r="P78" s="1">
        <f>C78-M78</f>
        <v>2854395</v>
      </c>
      <c r="Q78" t="str">
        <f t="shared" ca="1" si="13"/>
        <v>Non-compliant</v>
      </c>
      <c r="R78" t="s">
        <v>117</v>
      </c>
      <c r="S78" s="3">
        <f t="shared" si="14"/>
        <v>0.5242675</v>
      </c>
      <c r="T78" s="3">
        <f ca="1">M78/G78</f>
        <v>0.93702859696157281</v>
      </c>
      <c r="U78" s="3">
        <f t="shared" si="15"/>
        <v>0.5</v>
      </c>
      <c r="V78" s="1">
        <f t="shared" ca="1" si="16"/>
        <v>23.488333333333333</v>
      </c>
      <c r="W78" t="str">
        <f t="shared" ca="1" si="17"/>
        <v>Good</v>
      </c>
      <c r="X78" t="s">
        <v>452</v>
      </c>
    </row>
    <row r="79" spans="1:24" x14ac:dyDescent="0.25">
      <c r="A79" s="2">
        <v>45843</v>
      </c>
      <c r="B79">
        <f t="shared" ca="1" si="9"/>
        <v>450</v>
      </c>
      <c r="C79" s="1">
        <v>6000000</v>
      </c>
      <c r="D79" s="1">
        <v>10000</v>
      </c>
      <c r="E79" s="1">
        <f t="shared" si="10"/>
        <v>60000</v>
      </c>
      <c r="F79" s="1">
        <v>50000</v>
      </c>
      <c r="G79" s="1">
        <f t="shared" ca="1" si="11"/>
        <v>4500000</v>
      </c>
      <c r="H79" t="s">
        <v>372</v>
      </c>
      <c r="I79" t="s">
        <v>14</v>
      </c>
      <c r="J79" t="s">
        <v>163</v>
      </c>
      <c r="K79" t="s">
        <v>164</v>
      </c>
      <c r="L79">
        <v>1000000077</v>
      </c>
      <c r="M79" s="1">
        <v>3079287</v>
      </c>
      <c r="N79" s="1">
        <v>46500</v>
      </c>
      <c r="O79" s="1">
        <f t="shared" ca="1" si="12"/>
        <v>1420713</v>
      </c>
      <c r="P79" s="1">
        <f>C79-M79</f>
        <v>2920713</v>
      </c>
      <c r="Q79" t="str">
        <f t="shared" ca="1" si="13"/>
        <v>Non-compliant</v>
      </c>
      <c r="R79" t="s">
        <v>117</v>
      </c>
      <c r="S79" s="3">
        <f t="shared" si="14"/>
        <v>0.51321450000000002</v>
      </c>
      <c r="T79" s="3">
        <f ca="1">M79/G79</f>
        <v>0.68428599999999995</v>
      </c>
      <c r="U79" s="3">
        <f t="shared" si="15"/>
        <v>0.77500000000000002</v>
      </c>
      <c r="V79" s="1">
        <f t="shared" ca="1" si="16"/>
        <v>142.07130000000001</v>
      </c>
      <c r="W79" t="str">
        <f t="shared" ca="1" si="17"/>
        <v>Poor</v>
      </c>
      <c r="X79" t="s">
        <v>453</v>
      </c>
    </row>
    <row r="80" spans="1:24" x14ac:dyDescent="0.25">
      <c r="A80" s="2">
        <v>45753</v>
      </c>
      <c r="B80">
        <f t="shared" ca="1" si="9"/>
        <v>334</v>
      </c>
      <c r="C80" s="1">
        <v>6000000</v>
      </c>
      <c r="D80" s="1">
        <v>11000</v>
      </c>
      <c r="E80" s="1">
        <f t="shared" si="10"/>
        <v>66000</v>
      </c>
      <c r="F80" s="1">
        <v>100000</v>
      </c>
      <c r="G80" s="1">
        <f t="shared" ca="1" si="11"/>
        <v>3674000</v>
      </c>
      <c r="H80" t="s">
        <v>373</v>
      </c>
      <c r="I80" t="s">
        <v>14</v>
      </c>
      <c r="J80" t="s">
        <v>165</v>
      </c>
      <c r="K80" t="s">
        <v>24</v>
      </c>
      <c r="L80">
        <v>1000000078</v>
      </c>
      <c r="M80" s="1">
        <v>2890000</v>
      </c>
      <c r="N80" s="1">
        <v>52000</v>
      </c>
      <c r="O80" s="1">
        <f t="shared" ca="1" si="12"/>
        <v>784000</v>
      </c>
      <c r="P80" s="1">
        <f>C80-M80</f>
        <v>3110000</v>
      </c>
      <c r="Q80" t="str">
        <f t="shared" ca="1" si="13"/>
        <v>Non-compliant</v>
      </c>
      <c r="R80" t="s">
        <v>117</v>
      </c>
      <c r="S80" s="3">
        <f t="shared" si="14"/>
        <v>0.48166666666666669</v>
      </c>
      <c r="T80" s="3">
        <f ca="1">M80/G80</f>
        <v>0.78660860097985852</v>
      </c>
      <c r="U80" s="3">
        <f t="shared" si="15"/>
        <v>0.78787878787878785</v>
      </c>
      <c r="V80" s="1">
        <f t="shared" ca="1" si="16"/>
        <v>71.272727272727266</v>
      </c>
      <c r="W80" t="str">
        <f t="shared" ca="1" si="17"/>
        <v>Needs Monitoring</v>
      </c>
      <c r="X80" t="s">
        <v>452</v>
      </c>
    </row>
    <row r="81" spans="1:24" x14ac:dyDescent="0.25">
      <c r="A81" s="2">
        <v>45889</v>
      </c>
      <c r="B81">
        <f t="shared" ca="1" si="9"/>
        <v>386</v>
      </c>
      <c r="C81" s="1">
        <v>6000000</v>
      </c>
      <c r="D81" s="1">
        <v>11000</v>
      </c>
      <c r="E81" s="1">
        <f t="shared" si="10"/>
        <v>66000</v>
      </c>
      <c r="F81" s="1">
        <v>75000</v>
      </c>
      <c r="G81" s="1">
        <f t="shared" ca="1" si="11"/>
        <v>4246000</v>
      </c>
      <c r="H81" t="s">
        <v>374</v>
      </c>
      <c r="I81" t="s">
        <v>496</v>
      </c>
      <c r="J81" t="s">
        <v>166</v>
      </c>
      <c r="K81" t="s">
        <v>128</v>
      </c>
      <c r="L81">
        <v>1000000079</v>
      </c>
      <c r="M81" s="1">
        <v>2771602</v>
      </c>
      <c r="N81" s="1">
        <v>46500</v>
      </c>
      <c r="O81" s="1">
        <f t="shared" ca="1" si="12"/>
        <v>1474398</v>
      </c>
      <c r="P81" s="1">
        <f>C81-M81</f>
        <v>3228398</v>
      </c>
      <c r="Q81" t="str">
        <f t="shared" ca="1" si="13"/>
        <v>Non-compliant</v>
      </c>
      <c r="R81" t="s">
        <v>117</v>
      </c>
      <c r="S81" s="3">
        <f t="shared" si="14"/>
        <v>0.46193366666666669</v>
      </c>
      <c r="T81" s="3">
        <f ca="1">M81/G81</f>
        <v>0.65275600565237868</v>
      </c>
      <c r="U81" s="3">
        <f t="shared" si="15"/>
        <v>0.70454545454545459</v>
      </c>
      <c r="V81" s="1">
        <f t="shared" ca="1" si="16"/>
        <v>134.03618181818183</v>
      </c>
      <c r="W81" t="str">
        <f t="shared" ca="1" si="17"/>
        <v>Poor</v>
      </c>
      <c r="X81" t="s">
        <v>453</v>
      </c>
    </row>
    <row r="82" spans="1:24" x14ac:dyDescent="0.25">
      <c r="A82" s="2">
        <v>45828</v>
      </c>
      <c r="B82">
        <f t="shared" ca="1" si="9"/>
        <v>387</v>
      </c>
      <c r="C82" s="1">
        <v>6000000</v>
      </c>
      <c r="D82" s="1">
        <v>10000</v>
      </c>
      <c r="E82" s="1">
        <f t="shared" si="10"/>
        <v>60000</v>
      </c>
      <c r="F82" s="1">
        <v>100000</v>
      </c>
      <c r="G82" s="1">
        <f t="shared" ca="1" si="11"/>
        <v>3870000</v>
      </c>
      <c r="H82" t="s">
        <v>375</v>
      </c>
      <c r="I82" t="s">
        <v>14</v>
      </c>
      <c r="J82" t="s">
        <v>167</v>
      </c>
      <c r="K82" t="s">
        <v>168</v>
      </c>
      <c r="L82">
        <v>1000000080</v>
      </c>
      <c r="M82" s="1">
        <v>2457110</v>
      </c>
      <c r="N82" s="1">
        <v>18000</v>
      </c>
      <c r="O82" s="1">
        <f t="shared" ca="1" si="12"/>
        <v>1412890</v>
      </c>
      <c r="P82" s="1">
        <f>C82-M82</f>
        <v>3542890</v>
      </c>
      <c r="Q82" t="str">
        <f t="shared" ca="1" si="13"/>
        <v>Non-compliant</v>
      </c>
      <c r="R82" t="s">
        <v>117</v>
      </c>
      <c r="S82" s="3">
        <f t="shared" si="14"/>
        <v>0.40951833333333332</v>
      </c>
      <c r="T82" s="3">
        <f ca="1">M82/G82</f>
        <v>0.63491214470284241</v>
      </c>
      <c r="U82" s="3">
        <f t="shared" si="15"/>
        <v>0.3</v>
      </c>
      <c r="V82" s="1">
        <f t="shared" ca="1" si="16"/>
        <v>141.28899999999999</v>
      </c>
      <c r="W82" t="str">
        <f t="shared" ca="1" si="17"/>
        <v>Poor</v>
      </c>
      <c r="X82" t="s">
        <v>453</v>
      </c>
    </row>
    <row r="83" spans="1:24" x14ac:dyDescent="0.25">
      <c r="A83" s="2">
        <v>45827</v>
      </c>
      <c r="B83">
        <f t="shared" ca="1" si="9"/>
        <v>354</v>
      </c>
      <c r="C83" s="1">
        <v>6000000</v>
      </c>
      <c r="D83" s="1">
        <v>9000</v>
      </c>
      <c r="E83" s="1">
        <f t="shared" si="10"/>
        <v>54000</v>
      </c>
      <c r="F83" s="1">
        <v>50000</v>
      </c>
      <c r="G83" s="1">
        <f t="shared" ca="1" si="11"/>
        <v>3186000</v>
      </c>
      <c r="H83" t="s">
        <v>376</v>
      </c>
      <c r="I83" t="s">
        <v>14</v>
      </c>
      <c r="J83" t="s">
        <v>169</v>
      </c>
      <c r="K83" t="s">
        <v>170</v>
      </c>
      <c r="L83">
        <v>1000000081</v>
      </c>
      <c r="M83" s="1">
        <v>4152769</v>
      </c>
      <c r="N83" s="1">
        <v>60500</v>
      </c>
      <c r="O83" s="1">
        <f t="shared" ca="1" si="12"/>
        <v>-966769</v>
      </c>
      <c r="P83" s="1">
        <f>C83-M83</f>
        <v>1847231</v>
      </c>
      <c r="Q83" t="str">
        <f t="shared" ca="1" si="13"/>
        <v>Compliant</v>
      </c>
      <c r="R83" t="s">
        <v>117</v>
      </c>
      <c r="S83" s="3">
        <f t="shared" si="14"/>
        <v>0.69212816666666666</v>
      </c>
      <c r="T83" s="3">
        <f ca="1">M83/G83</f>
        <v>1.3034428750784683</v>
      </c>
      <c r="U83" s="3">
        <f t="shared" si="15"/>
        <v>1.1203703703703705</v>
      </c>
      <c r="V83" s="1">
        <f t="shared" ca="1" si="16"/>
        <v>-107.41877777777778</v>
      </c>
      <c r="W83" t="str">
        <f t="shared" ca="1" si="17"/>
        <v>Good</v>
      </c>
      <c r="X83" t="s">
        <v>452</v>
      </c>
    </row>
    <row r="84" spans="1:24" x14ac:dyDescent="0.25">
      <c r="A84" s="2">
        <v>45866</v>
      </c>
      <c r="B84">
        <f t="shared" ca="1" si="9"/>
        <v>384</v>
      </c>
      <c r="C84" s="1">
        <v>6000000</v>
      </c>
      <c r="D84" s="1">
        <v>9000</v>
      </c>
      <c r="E84" s="1">
        <f t="shared" si="10"/>
        <v>54000</v>
      </c>
      <c r="F84" s="1">
        <v>50000</v>
      </c>
      <c r="G84" s="1">
        <f t="shared" ca="1" si="11"/>
        <v>3456000</v>
      </c>
      <c r="H84" t="s">
        <v>377</v>
      </c>
      <c r="I84" t="s">
        <v>14</v>
      </c>
      <c r="J84" t="s">
        <v>149</v>
      </c>
      <c r="K84" t="s">
        <v>138</v>
      </c>
      <c r="L84">
        <v>1000000082</v>
      </c>
      <c r="M84" s="1">
        <v>3677324</v>
      </c>
      <c r="N84" s="1">
        <v>55500</v>
      </c>
      <c r="O84" s="1">
        <f t="shared" ca="1" si="12"/>
        <v>-221324</v>
      </c>
      <c r="P84" s="1">
        <f>C84-M84</f>
        <v>2322676</v>
      </c>
      <c r="Q84" t="str">
        <f t="shared" ca="1" si="13"/>
        <v>Compliant</v>
      </c>
      <c r="R84" t="s">
        <v>117</v>
      </c>
      <c r="S84" s="3">
        <f t="shared" si="14"/>
        <v>0.61288733333333334</v>
      </c>
      <c r="T84" s="3">
        <f ca="1">M84/G84</f>
        <v>1.0640405092592593</v>
      </c>
      <c r="U84" s="3">
        <f t="shared" si="15"/>
        <v>1.0277777777777777</v>
      </c>
      <c r="V84" s="1">
        <f t="shared" ca="1" si="16"/>
        <v>-24.591555555555555</v>
      </c>
      <c r="W84" t="str">
        <f t="shared" ca="1" si="17"/>
        <v>Good</v>
      </c>
      <c r="X84" t="s">
        <v>452</v>
      </c>
    </row>
    <row r="85" spans="1:24" x14ac:dyDescent="0.25">
      <c r="A85" s="2">
        <v>45830</v>
      </c>
      <c r="B85">
        <f t="shared" ca="1" si="9"/>
        <v>376</v>
      </c>
      <c r="C85" s="1">
        <v>6000000</v>
      </c>
      <c r="D85" s="1">
        <v>10000</v>
      </c>
      <c r="E85" s="1">
        <f t="shared" si="10"/>
        <v>60000</v>
      </c>
      <c r="F85" s="1">
        <v>100000</v>
      </c>
      <c r="G85" s="1">
        <f t="shared" ca="1" si="11"/>
        <v>3760000</v>
      </c>
      <c r="H85" t="s">
        <v>378</v>
      </c>
      <c r="I85" t="s">
        <v>14</v>
      </c>
      <c r="J85" t="s">
        <v>171</v>
      </c>
      <c r="K85" t="s">
        <v>172</v>
      </c>
      <c r="L85">
        <v>1000000083</v>
      </c>
      <c r="M85" s="1">
        <v>4342737</v>
      </c>
      <c r="N85" s="1">
        <v>56000</v>
      </c>
      <c r="O85" s="1">
        <f t="shared" ca="1" si="12"/>
        <v>-582737</v>
      </c>
      <c r="P85" s="1">
        <f>C85-M85</f>
        <v>1657263</v>
      </c>
      <c r="Q85" t="str">
        <f t="shared" ca="1" si="13"/>
        <v>Compliant</v>
      </c>
      <c r="R85" t="s">
        <v>117</v>
      </c>
      <c r="S85" s="3">
        <f t="shared" si="14"/>
        <v>0.72378949999999997</v>
      </c>
      <c r="T85" s="3">
        <f ca="1">M85/G85</f>
        <v>1.154983244680851</v>
      </c>
      <c r="U85" s="3">
        <f t="shared" si="15"/>
        <v>0.93333333333333335</v>
      </c>
      <c r="V85" s="1">
        <f t="shared" ca="1" si="16"/>
        <v>-58.273699999999998</v>
      </c>
      <c r="W85" t="str">
        <f t="shared" ca="1" si="17"/>
        <v>Good</v>
      </c>
      <c r="X85" t="s">
        <v>453</v>
      </c>
    </row>
    <row r="86" spans="1:24" x14ac:dyDescent="0.25">
      <c r="A86" s="2">
        <v>45840</v>
      </c>
      <c r="B86">
        <f t="shared" ca="1" si="9"/>
        <v>331</v>
      </c>
      <c r="C86" s="1">
        <v>6000000</v>
      </c>
      <c r="D86" s="1">
        <v>10000</v>
      </c>
      <c r="E86" s="1">
        <f t="shared" si="10"/>
        <v>60000</v>
      </c>
      <c r="F86" s="1">
        <v>50000</v>
      </c>
      <c r="G86" s="1">
        <f t="shared" ca="1" si="11"/>
        <v>3310000</v>
      </c>
      <c r="H86" t="s">
        <v>379</v>
      </c>
      <c r="I86" t="s">
        <v>14</v>
      </c>
      <c r="J86" t="s">
        <v>173</v>
      </c>
      <c r="K86" t="s">
        <v>174</v>
      </c>
      <c r="L86">
        <v>1000000084</v>
      </c>
      <c r="M86" s="1">
        <v>2799379</v>
      </c>
      <c r="N86" s="1">
        <v>35500</v>
      </c>
      <c r="O86" s="1">
        <f t="shared" ca="1" si="12"/>
        <v>510621</v>
      </c>
      <c r="P86" s="1">
        <f>C86-M86</f>
        <v>3200621</v>
      </c>
      <c r="Q86" t="str">
        <f t="shared" ca="1" si="13"/>
        <v>Non-compliant</v>
      </c>
      <c r="R86" t="s">
        <v>117</v>
      </c>
      <c r="S86" s="3">
        <f t="shared" si="14"/>
        <v>0.46656316666666664</v>
      </c>
      <c r="T86" s="3">
        <f ca="1">M86/G86</f>
        <v>0.84573383685800607</v>
      </c>
      <c r="U86" s="3">
        <f t="shared" si="15"/>
        <v>0.59166666666666667</v>
      </c>
      <c r="V86" s="1">
        <f t="shared" ca="1" si="16"/>
        <v>51.062100000000001</v>
      </c>
      <c r="W86" t="str">
        <f t="shared" ca="1" si="17"/>
        <v>Needs Monitoring</v>
      </c>
      <c r="X86" t="s">
        <v>452</v>
      </c>
    </row>
    <row r="87" spans="1:24" x14ac:dyDescent="0.25">
      <c r="A87" s="2">
        <v>45892</v>
      </c>
      <c r="B87">
        <f t="shared" ca="1" si="9"/>
        <v>385</v>
      </c>
      <c r="C87" s="1">
        <v>6000000</v>
      </c>
      <c r="D87" s="1">
        <v>10000</v>
      </c>
      <c r="E87" s="1">
        <f t="shared" si="10"/>
        <v>60000</v>
      </c>
      <c r="F87" s="1">
        <v>100000</v>
      </c>
      <c r="G87" s="1">
        <f t="shared" ca="1" si="11"/>
        <v>3850000</v>
      </c>
      <c r="H87" t="s">
        <v>380</v>
      </c>
      <c r="I87" t="s">
        <v>294</v>
      </c>
      <c r="J87" t="s">
        <v>175</v>
      </c>
      <c r="K87" t="s">
        <v>176</v>
      </c>
      <c r="L87">
        <v>1000000085</v>
      </c>
      <c r="M87" s="1">
        <v>2148847</v>
      </c>
      <c r="N87" s="1">
        <v>30500</v>
      </c>
      <c r="O87" s="1">
        <f t="shared" ca="1" si="12"/>
        <v>1701153</v>
      </c>
      <c r="P87" s="1">
        <f>C87-M87</f>
        <v>3851153</v>
      </c>
      <c r="Q87" t="str">
        <f t="shared" ca="1" si="13"/>
        <v>Non-compliant</v>
      </c>
      <c r="R87" t="s">
        <v>117</v>
      </c>
      <c r="S87" s="3">
        <f t="shared" si="14"/>
        <v>0.35814116666666668</v>
      </c>
      <c r="T87" s="3">
        <f ca="1">M87/G87</f>
        <v>0.55814207792207793</v>
      </c>
      <c r="U87" s="3">
        <f t="shared" si="15"/>
        <v>0.5083333333333333</v>
      </c>
      <c r="V87" s="1">
        <f t="shared" ca="1" si="16"/>
        <v>170.11529999999999</v>
      </c>
      <c r="W87" t="str">
        <f t="shared" ca="1" si="17"/>
        <v>Poor</v>
      </c>
      <c r="X87" t="s">
        <v>453</v>
      </c>
    </row>
    <row r="88" spans="1:24" x14ac:dyDescent="0.25">
      <c r="A88" s="2">
        <v>45829</v>
      </c>
      <c r="B88">
        <f t="shared" ca="1" si="9"/>
        <v>363</v>
      </c>
      <c r="C88" s="1">
        <v>6000000</v>
      </c>
      <c r="D88" s="1">
        <v>10000</v>
      </c>
      <c r="E88" s="1">
        <f t="shared" si="10"/>
        <v>60000</v>
      </c>
      <c r="F88" s="1">
        <v>100000</v>
      </c>
      <c r="G88" s="1">
        <f t="shared" ca="1" si="11"/>
        <v>3630000</v>
      </c>
      <c r="H88" t="s">
        <v>381</v>
      </c>
      <c r="I88" t="s">
        <v>14</v>
      </c>
      <c r="J88" t="s">
        <v>177</v>
      </c>
      <c r="K88" t="s">
        <v>178</v>
      </c>
      <c r="L88">
        <v>1000000086</v>
      </c>
      <c r="M88" s="1">
        <v>2966346</v>
      </c>
      <c r="N88" s="1">
        <v>34000</v>
      </c>
      <c r="O88" s="1">
        <f t="shared" ca="1" si="12"/>
        <v>663654</v>
      </c>
      <c r="P88" s="1">
        <f>C88-M88</f>
        <v>3033654</v>
      </c>
      <c r="Q88" t="str">
        <f t="shared" ca="1" si="13"/>
        <v>Non-compliant</v>
      </c>
      <c r="R88" t="s">
        <v>117</v>
      </c>
      <c r="S88" s="3">
        <f t="shared" si="14"/>
        <v>0.49439100000000002</v>
      </c>
      <c r="T88" s="3">
        <f ca="1">M88/G88</f>
        <v>0.81717520661157028</v>
      </c>
      <c r="U88" s="3">
        <f t="shared" si="15"/>
        <v>0.56666666666666665</v>
      </c>
      <c r="V88" s="1">
        <f t="shared" ca="1" si="16"/>
        <v>66.365399999999994</v>
      </c>
      <c r="W88" t="str">
        <f t="shared" ca="1" si="17"/>
        <v>Needs Monitoring</v>
      </c>
      <c r="X88" t="s">
        <v>452</v>
      </c>
    </row>
    <row r="89" spans="1:24" x14ac:dyDescent="0.25">
      <c r="A89" s="2">
        <v>45855</v>
      </c>
      <c r="B89">
        <f t="shared" ca="1" si="9"/>
        <v>379</v>
      </c>
      <c r="C89" s="1">
        <v>6000000</v>
      </c>
      <c r="D89" s="1">
        <v>10000</v>
      </c>
      <c r="E89" s="1">
        <f t="shared" si="10"/>
        <v>60000</v>
      </c>
      <c r="F89" s="1">
        <v>100000</v>
      </c>
      <c r="G89" s="1">
        <f t="shared" ca="1" si="11"/>
        <v>3790000</v>
      </c>
      <c r="H89" t="s">
        <v>382</v>
      </c>
      <c r="I89" t="s">
        <v>14</v>
      </c>
      <c r="J89" t="s">
        <v>179</v>
      </c>
      <c r="K89" t="s">
        <v>180</v>
      </c>
      <c r="L89">
        <v>1000000087</v>
      </c>
      <c r="M89" s="1">
        <v>3731621</v>
      </c>
      <c r="N89" s="1">
        <v>66500</v>
      </c>
      <c r="O89" s="1">
        <f t="shared" ca="1" si="12"/>
        <v>58379</v>
      </c>
      <c r="P89" s="1">
        <f>C89-M89</f>
        <v>2268379</v>
      </c>
      <c r="Q89" t="str">
        <f t="shared" ca="1" si="13"/>
        <v>Non-compliant</v>
      </c>
      <c r="R89" t="s">
        <v>117</v>
      </c>
      <c r="S89" s="3">
        <f t="shared" si="14"/>
        <v>0.62193683333333338</v>
      </c>
      <c r="T89" s="3">
        <f ca="1">M89/G89</f>
        <v>0.98459656992084432</v>
      </c>
      <c r="U89" s="3">
        <f t="shared" si="15"/>
        <v>1.1083333333333334</v>
      </c>
      <c r="V89" s="1">
        <f t="shared" ca="1" si="16"/>
        <v>5.8379000000000003</v>
      </c>
      <c r="W89" t="str">
        <f t="shared" ca="1" si="17"/>
        <v>Good</v>
      </c>
      <c r="X89" t="s">
        <v>453</v>
      </c>
    </row>
    <row r="90" spans="1:24" x14ac:dyDescent="0.25">
      <c r="A90" s="2">
        <v>45836</v>
      </c>
      <c r="B90">
        <f t="shared" ca="1" si="9"/>
        <v>401</v>
      </c>
      <c r="C90" s="1">
        <v>6000000</v>
      </c>
      <c r="D90" s="1">
        <v>10000</v>
      </c>
      <c r="E90" s="1">
        <f t="shared" si="10"/>
        <v>60000</v>
      </c>
      <c r="F90" s="1">
        <v>50000</v>
      </c>
      <c r="G90" s="1">
        <f t="shared" ca="1" si="11"/>
        <v>4010000</v>
      </c>
      <c r="H90" t="s">
        <v>383</v>
      </c>
      <c r="I90" t="s">
        <v>14</v>
      </c>
      <c r="J90" t="s">
        <v>181</v>
      </c>
      <c r="K90" t="s">
        <v>182</v>
      </c>
      <c r="L90">
        <v>1000000088</v>
      </c>
      <c r="M90" s="1">
        <v>2970859</v>
      </c>
      <c r="N90" s="1">
        <v>30500</v>
      </c>
      <c r="O90" s="1">
        <f t="shared" ca="1" si="12"/>
        <v>1039141</v>
      </c>
      <c r="P90" s="1">
        <f>C90-M90</f>
        <v>3029141</v>
      </c>
      <c r="Q90" t="str">
        <f t="shared" ca="1" si="13"/>
        <v>Non-compliant</v>
      </c>
      <c r="R90" t="s">
        <v>117</v>
      </c>
      <c r="S90" s="3">
        <f t="shared" si="14"/>
        <v>0.49514316666666669</v>
      </c>
      <c r="T90" s="3">
        <f ca="1">M90/G90</f>
        <v>0.74086259351620942</v>
      </c>
      <c r="U90" s="3">
        <f t="shared" si="15"/>
        <v>0.5083333333333333</v>
      </c>
      <c r="V90" s="1">
        <f t="shared" ca="1" si="16"/>
        <v>103.9141</v>
      </c>
      <c r="W90" t="str">
        <f t="shared" ca="1" si="17"/>
        <v>Needs Monitoring</v>
      </c>
      <c r="X90" t="s">
        <v>452</v>
      </c>
    </row>
    <row r="91" spans="1:24" x14ac:dyDescent="0.25">
      <c r="A91" s="2">
        <v>45811</v>
      </c>
      <c r="B91">
        <f t="shared" ca="1" si="9"/>
        <v>340</v>
      </c>
      <c r="C91" s="1">
        <v>6000000</v>
      </c>
      <c r="D91" s="1">
        <v>10000</v>
      </c>
      <c r="E91" s="1">
        <f t="shared" si="10"/>
        <v>60000</v>
      </c>
      <c r="F91" s="1">
        <v>100000</v>
      </c>
      <c r="G91" s="1">
        <f t="shared" ca="1" si="11"/>
        <v>3400000</v>
      </c>
      <c r="H91" t="s">
        <v>384</v>
      </c>
      <c r="I91" t="s">
        <v>14</v>
      </c>
      <c r="J91" t="s">
        <v>183</v>
      </c>
      <c r="K91" t="s">
        <v>184</v>
      </c>
      <c r="L91">
        <v>1000000089</v>
      </c>
      <c r="M91" s="1">
        <v>3717071</v>
      </c>
      <c r="N91" s="1">
        <v>61000</v>
      </c>
      <c r="O91" s="1">
        <f t="shared" ca="1" si="12"/>
        <v>-317071</v>
      </c>
      <c r="P91" s="1">
        <f>C91-M91</f>
        <v>2282929</v>
      </c>
      <c r="Q91" t="str">
        <f t="shared" ca="1" si="13"/>
        <v>Compliant</v>
      </c>
      <c r="R91" t="s">
        <v>117</v>
      </c>
      <c r="S91" s="3">
        <f t="shared" si="14"/>
        <v>0.61951183333333337</v>
      </c>
      <c r="T91" s="3">
        <f ca="1">M91/G91</f>
        <v>1.0932561764705881</v>
      </c>
      <c r="U91" s="3">
        <f t="shared" si="15"/>
        <v>1.0166666666666666</v>
      </c>
      <c r="V91" s="1">
        <f t="shared" ca="1" si="16"/>
        <v>-31.707100000000001</v>
      </c>
      <c r="W91" t="str">
        <f t="shared" ca="1" si="17"/>
        <v>Good</v>
      </c>
      <c r="X91" t="s">
        <v>452</v>
      </c>
    </row>
    <row r="92" spans="1:24" x14ac:dyDescent="0.25">
      <c r="A92" s="2">
        <v>45882</v>
      </c>
      <c r="B92">
        <f t="shared" ca="1" si="9"/>
        <v>461</v>
      </c>
      <c r="C92" s="1">
        <v>6000000</v>
      </c>
      <c r="D92" s="1">
        <v>10000</v>
      </c>
      <c r="E92" s="1">
        <f t="shared" si="10"/>
        <v>60000</v>
      </c>
      <c r="F92" s="1">
        <v>100000</v>
      </c>
      <c r="G92" s="1">
        <f t="shared" ca="1" si="11"/>
        <v>4610000</v>
      </c>
      <c r="H92" t="s">
        <v>385</v>
      </c>
      <c r="I92" t="s">
        <v>14</v>
      </c>
      <c r="J92" t="s">
        <v>185</v>
      </c>
      <c r="K92" t="s">
        <v>186</v>
      </c>
      <c r="L92">
        <v>1000000090</v>
      </c>
      <c r="M92" s="1">
        <v>2970737</v>
      </c>
      <c r="N92" s="1">
        <v>42000</v>
      </c>
      <c r="O92" s="1">
        <f t="shared" ca="1" si="12"/>
        <v>1639263</v>
      </c>
      <c r="P92" s="1">
        <f>C92-M92</f>
        <v>3029263</v>
      </c>
      <c r="Q92" t="str">
        <f t="shared" ca="1" si="13"/>
        <v>Non-compliant</v>
      </c>
      <c r="R92" t="s">
        <v>117</v>
      </c>
      <c r="S92" s="3">
        <f t="shared" si="14"/>
        <v>0.49512283333333335</v>
      </c>
      <c r="T92" s="3">
        <f ca="1">M92/G92</f>
        <v>0.6444114967462039</v>
      </c>
      <c r="U92" s="3">
        <f t="shared" si="15"/>
        <v>0.7</v>
      </c>
      <c r="V92" s="1">
        <f t="shared" ca="1" si="16"/>
        <v>163.9263</v>
      </c>
      <c r="W92" t="str">
        <f t="shared" ca="1" si="17"/>
        <v>Poor</v>
      </c>
      <c r="X92" t="s">
        <v>453</v>
      </c>
    </row>
    <row r="93" spans="1:24" x14ac:dyDescent="0.25">
      <c r="A93" s="2">
        <v>45741</v>
      </c>
      <c r="B93">
        <f t="shared" ca="1" si="9"/>
        <v>420</v>
      </c>
      <c r="C93" s="1">
        <v>6000000</v>
      </c>
      <c r="D93" s="1">
        <v>9000</v>
      </c>
      <c r="E93" s="1">
        <f t="shared" si="10"/>
        <v>54000</v>
      </c>
      <c r="F93" s="1">
        <v>100000</v>
      </c>
      <c r="G93" s="1">
        <f t="shared" ca="1" si="11"/>
        <v>3780000</v>
      </c>
      <c r="H93" t="s">
        <v>386</v>
      </c>
      <c r="I93" t="s">
        <v>14</v>
      </c>
      <c r="J93" t="s">
        <v>187</v>
      </c>
      <c r="K93" t="s">
        <v>188</v>
      </c>
      <c r="L93">
        <v>1000000091</v>
      </c>
      <c r="M93" s="1">
        <v>3225602</v>
      </c>
      <c r="N93" s="1">
        <v>0</v>
      </c>
      <c r="O93" s="1">
        <f t="shared" ca="1" si="12"/>
        <v>554398</v>
      </c>
      <c r="P93" s="1">
        <f>C93-M93</f>
        <v>2774398</v>
      </c>
      <c r="Q93" t="str">
        <f t="shared" ca="1" si="13"/>
        <v>Non-compliant</v>
      </c>
      <c r="R93" t="s">
        <v>117</v>
      </c>
      <c r="S93" s="3">
        <f t="shared" si="14"/>
        <v>0.53760033333333335</v>
      </c>
      <c r="T93" s="3">
        <f ca="1">M93/G93</f>
        <v>0.85333386243386244</v>
      </c>
      <c r="U93" s="3">
        <f t="shared" si="15"/>
        <v>0</v>
      </c>
      <c r="V93" s="1">
        <f t="shared" ca="1" si="16"/>
        <v>61.599777777777781</v>
      </c>
      <c r="W93" t="str">
        <f t="shared" ca="1" si="17"/>
        <v>Needs Monitoring</v>
      </c>
      <c r="X93" t="s">
        <v>453</v>
      </c>
    </row>
    <row r="94" spans="1:24" x14ac:dyDescent="0.25">
      <c r="A94" s="2">
        <v>45788</v>
      </c>
      <c r="B94">
        <f t="shared" ca="1" si="9"/>
        <v>468</v>
      </c>
      <c r="C94" s="1">
        <v>6000000</v>
      </c>
      <c r="D94" s="1">
        <v>10000</v>
      </c>
      <c r="E94" s="1">
        <f t="shared" si="10"/>
        <v>60000</v>
      </c>
      <c r="F94" s="1">
        <v>100000</v>
      </c>
      <c r="G94" s="1">
        <f t="shared" ca="1" si="11"/>
        <v>4680000</v>
      </c>
      <c r="H94" t="s">
        <v>387</v>
      </c>
      <c r="I94" t="s">
        <v>14</v>
      </c>
      <c r="J94" t="s">
        <v>189</v>
      </c>
      <c r="K94" t="s">
        <v>190</v>
      </c>
      <c r="L94">
        <v>1000000092</v>
      </c>
      <c r="M94" s="1">
        <v>3146210</v>
      </c>
      <c r="N94" s="1">
        <v>34500</v>
      </c>
      <c r="O94" s="1">
        <f t="shared" ca="1" si="12"/>
        <v>1533790</v>
      </c>
      <c r="P94" s="1">
        <f>C94-M94</f>
        <v>2853790</v>
      </c>
      <c r="Q94" t="str">
        <f t="shared" ca="1" si="13"/>
        <v>Non-compliant</v>
      </c>
      <c r="R94" t="s">
        <v>117</v>
      </c>
      <c r="S94" s="3">
        <f t="shared" si="14"/>
        <v>0.52436833333333333</v>
      </c>
      <c r="T94" s="3">
        <f ca="1">M94/G94</f>
        <v>0.67226709401709406</v>
      </c>
      <c r="U94" s="3">
        <f t="shared" si="15"/>
        <v>0.57499999999999996</v>
      </c>
      <c r="V94" s="1">
        <f t="shared" ca="1" si="16"/>
        <v>153.37899999999999</v>
      </c>
      <c r="W94" t="str">
        <f t="shared" ca="1" si="17"/>
        <v>Poor</v>
      </c>
      <c r="X94" t="s">
        <v>452</v>
      </c>
    </row>
    <row r="95" spans="1:24" x14ac:dyDescent="0.25">
      <c r="A95" s="2">
        <v>45732</v>
      </c>
      <c r="B95">
        <f t="shared" ca="1" si="9"/>
        <v>454</v>
      </c>
      <c r="C95" s="1">
        <v>6000000</v>
      </c>
      <c r="D95" s="1">
        <v>11000</v>
      </c>
      <c r="E95" s="1">
        <f t="shared" si="10"/>
        <v>66000</v>
      </c>
      <c r="F95" s="1">
        <v>75000</v>
      </c>
      <c r="G95" s="1">
        <f t="shared" ca="1" si="11"/>
        <v>4994000</v>
      </c>
      <c r="H95" t="s">
        <v>388</v>
      </c>
      <c r="I95" t="s">
        <v>14</v>
      </c>
      <c r="J95" t="s">
        <v>191</v>
      </c>
      <c r="K95" t="s">
        <v>192</v>
      </c>
      <c r="L95">
        <v>1000000093</v>
      </c>
      <c r="M95" s="1">
        <v>5489729</v>
      </c>
      <c r="N95" s="1">
        <v>40000</v>
      </c>
      <c r="O95" s="1">
        <f t="shared" ca="1" si="12"/>
        <v>-495729</v>
      </c>
      <c r="P95" s="1">
        <f>C95-M95</f>
        <v>510271</v>
      </c>
      <c r="Q95" t="str">
        <f t="shared" ca="1" si="13"/>
        <v>Compliant</v>
      </c>
      <c r="R95" t="s">
        <v>117</v>
      </c>
      <c r="S95" s="3">
        <f t="shared" si="14"/>
        <v>0.91495483333333338</v>
      </c>
      <c r="T95" s="3">
        <f ca="1">M95/G95</f>
        <v>1.0992649179014817</v>
      </c>
      <c r="U95" s="3">
        <f t="shared" si="15"/>
        <v>0.60606060606060608</v>
      </c>
      <c r="V95" s="1">
        <f t="shared" ca="1" si="16"/>
        <v>-45.066272727272725</v>
      </c>
      <c r="W95" t="str">
        <f t="shared" ca="1" si="17"/>
        <v>Good</v>
      </c>
      <c r="X95" t="s">
        <v>452</v>
      </c>
    </row>
    <row r="96" spans="1:24" x14ac:dyDescent="0.25">
      <c r="A96" s="2">
        <v>45749</v>
      </c>
      <c r="B96">
        <f t="shared" ca="1" si="9"/>
        <v>450</v>
      </c>
      <c r="C96" s="1">
        <v>6000000</v>
      </c>
      <c r="D96" s="1">
        <v>9000</v>
      </c>
      <c r="E96" s="1">
        <f t="shared" si="10"/>
        <v>54000</v>
      </c>
      <c r="F96" s="1">
        <v>50000</v>
      </c>
      <c r="G96" s="1">
        <f t="shared" ca="1" si="11"/>
        <v>4050000</v>
      </c>
      <c r="H96" t="s">
        <v>389</v>
      </c>
      <c r="I96" t="s">
        <v>14</v>
      </c>
      <c r="J96" t="s">
        <v>193</v>
      </c>
      <c r="K96" t="s">
        <v>194</v>
      </c>
      <c r="L96">
        <v>1000000094</v>
      </c>
      <c r="M96" s="1">
        <v>3347845</v>
      </c>
      <c r="N96" s="1">
        <v>36500</v>
      </c>
      <c r="O96" s="1">
        <f t="shared" ca="1" si="12"/>
        <v>702155</v>
      </c>
      <c r="P96" s="1">
        <f>C96-M96</f>
        <v>2652155</v>
      </c>
      <c r="Q96" t="str">
        <f t="shared" ca="1" si="13"/>
        <v>Non-compliant</v>
      </c>
      <c r="R96" t="s">
        <v>117</v>
      </c>
      <c r="S96" s="3">
        <f t="shared" si="14"/>
        <v>0.55797416666666666</v>
      </c>
      <c r="T96" s="3">
        <f ca="1">M96/G96</f>
        <v>0.82662839506172836</v>
      </c>
      <c r="U96" s="3">
        <f t="shared" si="15"/>
        <v>0.67592592592592593</v>
      </c>
      <c r="V96" s="1">
        <f t="shared" ca="1" si="16"/>
        <v>78.017222222222216</v>
      </c>
      <c r="W96" t="str">
        <f t="shared" ca="1" si="17"/>
        <v>Needs Monitoring</v>
      </c>
      <c r="X96" t="s">
        <v>453</v>
      </c>
    </row>
    <row r="97" spans="1:24" x14ac:dyDescent="0.25">
      <c r="A97" s="2">
        <v>45754</v>
      </c>
      <c r="B97">
        <f t="shared" ca="1" si="9"/>
        <v>478</v>
      </c>
      <c r="C97" s="1">
        <v>6000000</v>
      </c>
      <c r="D97" s="1">
        <v>9000</v>
      </c>
      <c r="E97" s="1">
        <f t="shared" si="10"/>
        <v>54000</v>
      </c>
      <c r="F97" s="1">
        <v>100000</v>
      </c>
      <c r="G97" s="1">
        <f t="shared" ca="1" si="11"/>
        <v>4302000</v>
      </c>
      <c r="H97" t="s">
        <v>390</v>
      </c>
      <c r="I97" t="s">
        <v>14</v>
      </c>
      <c r="J97" t="s">
        <v>195</v>
      </c>
      <c r="K97" t="s">
        <v>196</v>
      </c>
      <c r="L97">
        <v>1000000095</v>
      </c>
      <c r="M97" s="1">
        <v>3617600</v>
      </c>
      <c r="N97" s="1">
        <v>37500</v>
      </c>
      <c r="O97" s="1">
        <f t="shared" ca="1" si="12"/>
        <v>684400</v>
      </c>
      <c r="P97" s="1">
        <f>C97-M97</f>
        <v>2382400</v>
      </c>
      <c r="Q97" t="str">
        <f t="shared" ca="1" si="13"/>
        <v>Non-compliant</v>
      </c>
      <c r="R97" t="s">
        <v>117</v>
      </c>
      <c r="S97" s="3">
        <f t="shared" si="14"/>
        <v>0.60293333333333332</v>
      </c>
      <c r="T97" s="3">
        <f ca="1">M97/G97</f>
        <v>0.84091120409112041</v>
      </c>
      <c r="U97" s="3">
        <f t="shared" si="15"/>
        <v>0.69444444444444442</v>
      </c>
      <c r="V97" s="1">
        <f t="shared" ca="1" si="16"/>
        <v>76.044444444444451</v>
      </c>
      <c r="W97" t="str">
        <f t="shared" ca="1" si="17"/>
        <v>Needs Monitoring</v>
      </c>
      <c r="X97" t="s">
        <v>452</v>
      </c>
    </row>
    <row r="98" spans="1:24" x14ac:dyDescent="0.25">
      <c r="A98" s="2">
        <v>45721</v>
      </c>
      <c r="B98">
        <f t="shared" ca="1" si="9"/>
        <v>383</v>
      </c>
      <c r="C98" s="1">
        <v>6000000</v>
      </c>
      <c r="D98" s="1">
        <v>9000</v>
      </c>
      <c r="E98" s="1">
        <f t="shared" si="10"/>
        <v>54000</v>
      </c>
      <c r="F98" s="1">
        <v>75000</v>
      </c>
      <c r="G98" s="1">
        <f t="shared" ca="1" si="11"/>
        <v>3447000</v>
      </c>
      <c r="H98" t="s">
        <v>391</v>
      </c>
      <c r="I98" t="s">
        <v>142</v>
      </c>
      <c r="J98" t="s">
        <v>197</v>
      </c>
      <c r="K98" t="s">
        <v>198</v>
      </c>
      <c r="L98">
        <v>1000000096</v>
      </c>
      <c r="M98" s="1">
        <v>4374772</v>
      </c>
      <c r="N98" s="1">
        <v>0</v>
      </c>
      <c r="O98" s="1">
        <f t="shared" ca="1" si="12"/>
        <v>-927772</v>
      </c>
      <c r="P98" s="1">
        <f>C98-M98</f>
        <v>1625228</v>
      </c>
      <c r="Q98" t="str">
        <f t="shared" ca="1" si="13"/>
        <v>Compliant</v>
      </c>
      <c r="R98" t="s">
        <v>117</v>
      </c>
      <c r="S98" s="3">
        <f t="shared" si="14"/>
        <v>0.72912866666666665</v>
      </c>
      <c r="T98" s="3">
        <f ca="1">M98/G98</f>
        <v>1.2691534667827096</v>
      </c>
      <c r="U98" s="3">
        <f t="shared" si="15"/>
        <v>0</v>
      </c>
      <c r="V98" s="1">
        <f t="shared" ca="1" si="16"/>
        <v>-103.08577777777778</v>
      </c>
      <c r="W98" t="str">
        <f t="shared" ca="1" si="17"/>
        <v>Good</v>
      </c>
      <c r="X98" t="s">
        <v>453</v>
      </c>
    </row>
    <row r="99" spans="1:24" x14ac:dyDescent="0.25">
      <c r="A99" s="2">
        <v>45832</v>
      </c>
      <c r="B99">
        <f t="shared" ca="1" si="9"/>
        <v>394</v>
      </c>
      <c r="C99" s="1">
        <v>6000000</v>
      </c>
      <c r="D99" s="1">
        <v>9000</v>
      </c>
      <c r="E99" s="1">
        <f t="shared" si="10"/>
        <v>54000</v>
      </c>
      <c r="F99" s="1">
        <v>100000</v>
      </c>
      <c r="G99" s="1">
        <f t="shared" ca="1" si="11"/>
        <v>3546000</v>
      </c>
      <c r="H99" t="s">
        <v>392</v>
      </c>
      <c r="I99" t="s">
        <v>14</v>
      </c>
      <c r="J99" t="s">
        <v>199</v>
      </c>
      <c r="K99" t="s">
        <v>200</v>
      </c>
      <c r="L99">
        <v>1000000097</v>
      </c>
      <c r="M99" s="1">
        <v>3475174</v>
      </c>
      <c r="N99" s="1">
        <v>24500</v>
      </c>
      <c r="O99" s="1">
        <f t="shared" ca="1" si="12"/>
        <v>70826</v>
      </c>
      <c r="P99" s="1">
        <f>C99-M99</f>
        <v>2524826</v>
      </c>
      <c r="Q99" t="str">
        <f t="shared" ca="1" si="13"/>
        <v>Non-compliant</v>
      </c>
      <c r="R99" t="s">
        <v>117</v>
      </c>
      <c r="S99" s="3">
        <f t="shared" si="14"/>
        <v>0.57919566666666666</v>
      </c>
      <c r="T99" s="3">
        <f ca="1">M99/G99</f>
        <v>0.98002650874224473</v>
      </c>
      <c r="U99" s="3">
        <f t="shared" si="15"/>
        <v>0.45370370370370372</v>
      </c>
      <c r="V99" s="1">
        <f t="shared" ca="1" si="16"/>
        <v>7.8695555555555554</v>
      </c>
      <c r="W99" t="str">
        <f t="shared" ca="1" si="17"/>
        <v>Good</v>
      </c>
      <c r="X99" t="s">
        <v>452</v>
      </c>
    </row>
    <row r="100" spans="1:24" x14ac:dyDescent="0.25">
      <c r="A100" s="2">
        <v>45819</v>
      </c>
      <c r="B100">
        <f t="shared" ca="1" si="9"/>
        <v>345</v>
      </c>
      <c r="C100" s="1">
        <v>6000000</v>
      </c>
      <c r="D100" s="1">
        <v>11000</v>
      </c>
      <c r="E100" s="1">
        <f t="shared" si="10"/>
        <v>66000</v>
      </c>
      <c r="F100" s="1">
        <v>100000</v>
      </c>
      <c r="G100" s="1">
        <f t="shared" ca="1" si="11"/>
        <v>3795000</v>
      </c>
      <c r="H100" t="s">
        <v>393</v>
      </c>
      <c r="I100" t="s">
        <v>14</v>
      </c>
      <c r="J100" t="s">
        <v>201</v>
      </c>
      <c r="K100" t="s">
        <v>202</v>
      </c>
      <c r="L100">
        <v>1000000098</v>
      </c>
      <c r="M100" s="1">
        <v>3519460</v>
      </c>
      <c r="N100" s="1">
        <v>23500</v>
      </c>
      <c r="O100" s="1">
        <f t="shared" ca="1" si="12"/>
        <v>275540</v>
      </c>
      <c r="P100" s="1">
        <f>C100-M100</f>
        <v>2480540</v>
      </c>
      <c r="Q100" t="str">
        <f t="shared" ca="1" si="13"/>
        <v>Non-compliant</v>
      </c>
      <c r="R100" t="s">
        <v>117</v>
      </c>
      <c r="S100" s="3">
        <f t="shared" si="14"/>
        <v>0.58657666666666664</v>
      </c>
      <c r="T100" s="3">
        <f ca="1">M100/G100</f>
        <v>0.92739393939393944</v>
      </c>
      <c r="U100" s="3">
        <f t="shared" si="15"/>
        <v>0.35606060606060608</v>
      </c>
      <c r="V100" s="1">
        <f t="shared" ca="1" si="16"/>
        <v>25.049090909090911</v>
      </c>
      <c r="W100" t="str">
        <f t="shared" ca="1" si="17"/>
        <v>Good</v>
      </c>
      <c r="X100" t="s">
        <v>453</v>
      </c>
    </row>
    <row r="101" spans="1:24" x14ac:dyDescent="0.25">
      <c r="A101" s="2">
        <v>45876</v>
      </c>
      <c r="B101">
        <f t="shared" ca="1" si="9"/>
        <v>383</v>
      </c>
      <c r="C101" s="1">
        <v>6000000</v>
      </c>
      <c r="D101" s="1">
        <v>10000</v>
      </c>
      <c r="E101" s="1">
        <f t="shared" si="10"/>
        <v>60000</v>
      </c>
      <c r="F101" s="1">
        <v>75000</v>
      </c>
      <c r="G101" s="1">
        <f t="shared" ca="1" si="11"/>
        <v>3830000</v>
      </c>
      <c r="H101" t="s">
        <v>394</v>
      </c>
      <c r="I101" t="s">
        <v>14</v>
      </c>
      <c r="J101" t="s">
        <v>203</v>
      </c>
      <c r="K101" t="s">
        <v>67</v>
      </c>
      <c r="L101">
        <v>1000000099</v>
      </c>
      <c r="M101" s="1">
        <v>3405746</v>
      </c>
      <c r="N101" s="1">
        <v>53000</v>
      </c>
      <c r="O101" s="1">
        <f t="shared" ca="1" si="12"/>
        <v>424254</v>
      </c>
      <c r="P101" s="1">
        <f>C101-M101</f>
        <v>2594254</v>
      </c>
      <c r="Q101" t="str">
        <f t="shared" ca="1" si="13"/>
        <v>Non-compliant</v>
      </c>
      <c r="R101" t="s">
        <v>117</v>
      </c>
      <c r="S101" s="3">
        <f t="shared" si="14"/>
        <v>0.56762433333333329</v>
      </c>
      <c r="T101" s="3">
        <f ca="1">M101/G101</f>
        <v>0.88922872062663183</v>
      </c>
      <c r="U101" s="3">
        <f t="shared" si="15"/>
        <v>0.8833333333333333</v>
      </c>
      <c r="V101" s="1">
        <f t="shared" ca="1" si="16"/>
        <v>42.425400000000003</v>
      </c>
      <c r="W101" t="str">
        <f t="shared" ca="1" si="17"/>
        <v>Needs Monitoring</v>
      </c>
      <c r="X101" t="s">
        <v>452</v>
      </c>
    </row>
    <row r="102" spans="1:24" x14ac:dyDescent="0.25">
      <c r="A102" s="2">
        <v>45832</v>
      </c>
      <c r="B102">
        <f t="shared" ca="1" si="9"/>
        <v>400</v>
      </c>
      <c r="C102" s="1">
        <v>6000000</v>
      </c>
      <c r="D102" s="1">
        <v>9000</v>
      </c>
      <c r="E102" s="1">
        <f t="shared" si="10"/>
        <v>54000</v>
      </c>
      <c r="F102" s="1">
        <v>75000</v>
      </c>
      <c r="G102" s="1">
        <f t="shared" ca="1" si="11"/>
        <v>3600000</v>
      </c>
      <c r="H102" t="s">
        <v>395</v>
      </c>
      <c r="I102" t="s">
        <v>14</v>
      </c>
      <c r="J102" t="s">
        <v>204</v>
      </c>
      <c r="K102" t="s">
        <v>87</v>
      </c>
      <c r="L102">
        <v>1000000100</v>
      </c>
      <c r="M102" s="1">
        <v>3725011</v>
      </c>
      <c r="N102" s="1">
        <v>44000</v>
      </c>
      <c r="O102" s="1">
        <f t="shared" ca="1" si="12"/>
        <v>-125011</v>
      </c>
      <c r="P102" s="1">
        <f>C102-M102</f>
        <v>2274989</v>
      </c>
      <c r="Q102" t="str">
        <f t="shared" ca="1" si="13"/>
        <v>Compliant</v>
      </c>
      <c r="R102" t="s">
        <v>205</v>
      </c>
      <c r="S102" s="3">
        <f t="shared" si="14"/>
        <v>0.62083516666666672</v>
      </c>
      <c r="T102" s="3">
        <f ca="1">M102/G102</f>
        <v>1.0347252777777778</v>
      </c>
      <c r="U102" s="3">
        <f t="shared" si="15"/>
        <v>0.81481481481481477</v>
      </c>
      <c r="V102" s="1">
        <f t="shared" ca="1" si="16"/>
        <v>-13.890111111111111</v>
      </c>
      <c r="W102" t="str">
        <f t="shared" ca="1" si="17"/>
        <v>Good</v>
      </c>
      <c r="X102" t="s">
        <v>453</v>
      </c>
    </row>
    <row r="103" spans="1:24" x14ac:dyDescent="0.25">
      <c r="A103" s="2">
        <v>45812</v>
      </c>
      <c r="B103">
        <f t="shared" ca="1" si="9"/>
        <v>353</v>
      </c>
      <c r="C103" s="1">
        <v>6000000</v>
      </c>
      <c r="D103" s="1">
        <v>9000</v>
      </c>
      <c r="E103" s="1">
        <f t="shared" si="10"/>
        <v>54000</v>
      </c>
      <c r="F103" s="1">
        <v>100000</v>
      </c>
      <c r="G103" s="1">
        <f t="shared" ca="1" si="11"/>
        <v>3177000</v>
      </c>
      <c r="H103" t="s">
        <v>396</v>
      </c>
      <c r="I103" t="s">
        <v>14</v>
      </c>
      <c r="J103" t="s">
        <v>206</v>
      </c>
      <c r="K103" t="s">
        <v>207</v>
      </c>
      <c r="L103">
        <v>1000000101</v>
      </c>
      <c r="M103" s="1">
        <v>4317359</v>
      </c>
      <c r="N103" s="1">
        <v>60500</v>
      </c>
      <c r="O103" s="1">
        <f t="shared" ca="1" si="12"/>
        <v>-1140359</v>
      </c>
      <c r="P103" s="1">
        <f>C103-M103</f>
        <v>1682641</v>
      </c>
      <c r="Q103" t="str">
        <f t="shared" ca="1" si="13"/>
        <v>Compliant</v>
      </c>
      <c r="R103" t="s">
        <v>205</v>
      </c>
      <c r="S103" s="3">
        <f t="shared" si="14"/>
        <v>0.71955983333333329</v>
      </c>
      <c r="T103" s="3">
        <f ca="1">M103/G103</f>
        <v>1.3589420837267863</v>
      </c>
      <c r="U103" s="3">
        <f t="shared" si="15"/>
        <v>1.1203703703703705</v>
      </c>
      <c r="V103" s="1">
        <f t="shared" ca="1" si="16"/>
        <v>-126.70655555555555</v>
      </c>
      <c r="W103" t="str">
        <f t="shared" ca="1" si="17"/>
        <v>Good</v>
      </c>
      <c r="X103" t="s">
        <v>452</v>
      </c>
    </row>
    <row r="104" spans="1:24" x14ac:dyDescent="0.25">
      <c r="A104" s="2">
        <v>45867</v>
      </c>
      <c r="B104">
        <f t="shared" ca="1" si="9"/>
        <v>448</v>
      </c>
      <c r="C104" s="1">
        <v>6000000</v>
      </c>
      <c r="D104" s="1">
        <v>10000</v>
      </c>
      <c r="E104" s="1">
        <f t="shared" si="10"/>
        <v>60000</v>
      </c>
      <c r="F104" s="1">
        <v>100000</v>
      </c>
      <c r="G104" s="1">
        <f t="shared" ca="1" si="11"/>
        <v>4480000</v>
      </c>
      <c r="H104" t="s">
        <v>397</v>
      </c>
      <c r="I104" t="s">
        <v>14</v>
      </c>
      <c r="J104" t="s">
        <v>208</v>
      </c>
      <c r="K104" t="s">
        <v>73</v>
      </c>
      <c r="L104">
        <v>1000000102</v>
      </c>
      <c r="M104" s="1">
        <v>2817217</v>
      </c>
      <c r="N104" s="1">
        <v>18500</v>
      </c>
      <c r="O104" s="1">
        <f t="shared" ca="1" si="12"/>
        <v>1662783</v>
      </c>
      <c r="P104" s="1">
        <f>C104-M104</f>
        <v>3182783</v>
      </c>
      <c r="Q104" t="str">
        <f t="shared" ca="1" si="13"/>
        <v>Non-compliant</v>
      </c>
      <c r="R104" t="s">
        <v>205</v>
      </c>
      <c r="S104" s="3">
        <f t="shared" si="14"/>
        <v>0.46953616666666664</v>
      </c>
      <c r="T104" s="3">
        <f ca="1">M104/G104</f>
        <v>0.62884308035714287</v>
      </c>
      <c r="U104" s="3">
        <f t="shared" si="15"/>
        <v>0.30833333333333335</v>
      </c>
      <c r="V104" s="1">
        <f t="shared" ca="1" si="16"/>
        <v>166.2783</v>
      </c>
      <c r="W104" t="str">
        <f t="shared" ca="1" si="17"/>
        <v>Poor</v>
      </c>
      <c r="X104" t="s">
        <v>452</v>
      </c>
    </row>
    <row r="105" spans="1:24" x14ac:dyDescent="0.25">
      <c r="A105" s="2">
        <v>45756</v>
      </c>
      <c r="B105">
        <f t="shared" ca="1" si="9"/>
        <v>337</v>
      </c>
      <c r="C105" s="1">
        <v>6000000</v>
      </c>
      <c r="D105" s="1">
        <v>11000</v>
      </c>
      <c r="E105" s="1">
        <f t="shared" si="10"/>
        <v>66000</v>
      </c>
      <c r="F105" s="1">
        <v>50000</v>
      </c>
      <c r="G105" s="1">
        <f t="shared" ca="1" si="11"/>
        <v>3707000</v>
      </c>
      <c r="H105" t="s">
        <v>398</v>
      </c>
      <c r="I105" t="s">
        <v>142</v>
      </c>
      <c r="J105" t="s">
        <v>209</v>
      </c>
      <c r="K105" t="s">
        <v>210</v>
      </c>
      <c r="L105">
        <v>1000000103</v>
      </c>
      <c r="M105" s="1">
        <v>5456513</v>
      </c>
      <c r="N105" s="1">
        <v>0</v>
      </c>
      <c r="O105" s="1">
        <f t="shared" ca="1" si="12"/>
        <v>-1749513</v>
      </c>
      <c r="P105" s="1">
        <f>C105-M105</f>
        <v>543487</v>
      </c>
      <c r="Q105" t="str">
        <f t="shared" ca="1" si="13"/>
        <v>Compliant</v>
      </c>
      <c r="R105" t="s">
        <v>205</v>
      </c>
      <c r="S105" s="3">
        <f t="shared" si="14"/>
        <v>0.90941883333333329</v>
      </c>
      <c r="T105" s="3">
        <f ca="1">M105/G105</f>
        <v>1.4719484758564878</v>
      </c>
      <c r="U105" s="3">
        <f t="shared" si="15"/>
        <v>0</v>
      </c>
      <c r="V105" s="1">
        <f t="shared" ca="1" si="16"/>
        <v>-159.04663636363637</v>
      </c>
      <c r="W105" t="str">
        <f t="shared" ca="1" si="17"/>
        <v>Good</v>
      </c>
      <c r="X105" t="s">
        <v>453</v>
      </c>
    </row>
    <row r="106" spans="1:24" x14ac:dyDescent="0.25">
      <c r="A106" s="2">
        <v>45885</v>
      </c>
      <c r="B106">
        <f t="shared" ca="1" si="9"/>
        <v>450</v>
      </c>
      <c r="C106" s="1">
        <v>6000000</v>
      </c>
      <c r="D106" s="1">
        <v>10000</v>
      </c>
      <c r="E106" s="1">
        <f t="shared" si="10"/>
        <v>60000</v>
      </c>
      <c r="F106" s="1">
        <v>50000</v>
      </c>
      <c r="G106" s="1">
        <f t="shared" ca="1" si="11"/>
        <v>4500000</v>
      </c>
      <c r="H106" t="s">
        <v>399</v>
      </c>
      <c r="I106" t="s">
        <v>14</v>
      </c>
      <c r="J106" t="s">
        <v>211</v>
      </c>
      <c r="K106" t="s">
        <v>212</v>
      </c>
      <c r="L106">
        <v>1000000104</v>
      </c>
      <c r="M106" s="1">
        <v>3732258</v>
      </c>
      <c r="N106" s="1">
        <v>50500</v>
      </c>
      <c r="O106" s="1">
        <f t="shared" ca="1" si="12"/>
        <v>767742</v>
      </c>
      <c r="P106" s="1">
        <f>C106-M106</f>
        <v>2267742</v>
      </c>
      <c r="Q106" t="str">
        <f t="shared" ca="1" si="13"/>
        <v>Non-compliant</v>
      </c>
      <c r="R106" t="s">
        <v>205</v>
      </c>
      <c r="S106" s="3">
        <f t="shared" si="14"/>
        <v>0.62204300000000001</v>
      </c>
      <c r="T106" s="3">
        <f ca="1">M106/G106</f>
        <v>0.82939066666666672</v>
      </c>
      <c r="U106" s="3">
        <f t="shared" si="15"/>
        <v>0.84166666666666667</v>
      </c>
      <c r="V106" s="1">
        <f t="shared" ca="1" si="16"/>
        <v>76.774199999999993</v>
      </c>
      <c r="W106" t="str">
        <f t="shared" ca="1" si="17"/>
        <v>Needs Monitoring</v>
      </c>
      <c r="X106" t="s">
        <v>452</v>
      </c>
    </row>
    <row r="107" spans="1:24" x14ac:dyDescent="0.25">
      <c r="A107" s="2">
        <v>45753</v>
      </c>
      <c r="B107">
        <f t="shared" ca="1" si="9"/>
        <v>357</v>
      </c>
      <c r="C107" s="1">
        <v>6000000</v>
      </c>
      <c r="D107" s="1">
        <v>10000</v>
      </c>
      <c r="E107" s="1">
        <f t="shared" si="10"/>
        <v>60000</v>
      </c>
      <c r="F107" s="1">
        <v>50000</v>
      </c>
      <c r="G107" s="1">
        <f t="shared" ca="1" si="11"/>
        <v>3570000</v>
      </c>
      <c r="H107" t="s">
        <v>400</v>
      </c>
      <c r="I107" t="s">
        <v>14</v>
      </c>
      <c r="J107" t="s">
        <v>213</v>
      </c>
      <c r="K107" t="s">
        <v>214</v>
      </c>
      <c r="L107">
        <v>1000000105</v>
      </c>
      <c r="M107" s="1">
        <v>4024004</v>
      </c>
      <c r="N107" s="1">
        <v>56000</v>
      </c>
      <c r="O107" s="1">
        <f t="shared" ca="1" si="12"/>
        <v>-454004</v>
      </c>
      <c r="P107" s="1">
        <f>C107-M107</f>
        <v>1975996</v>
      </c>
      <c r="Q107" t="str">
        <f t="shared" ca="1" si="13"/>
        <v>Compliant</v>
      </c>
      <c r="R107" t="s">
        <v>205</v>
      </c>
      <c r="S107" s="3">
        <f t="shared" si="14"/>
        <v>0.67066733333333328</v>
      </c>
      <c r="T107" s="3">
        <f ca="1">M107/G107</f>
        <v>1.1271719887955183</v>
      </c>
      <c r="U107" s="3">
        <f t="shared" si="15"/>
        <v>0.93333333333333335</v>
      </c>
      <c r="V107" s="1">
        <f t="shared" ca="1" si="16"/>
        <v>-45.400399999999998</v>
      </c>
      <c r="W107" t="str">
        <f t="shared" ca="1" si="17"/>
        <v>Good</v>
      </c>
      <c r="X107" t="s">
        <v>453</v>
      </c>
    </row>
    <row r="108" spans="1:24" x14ac:dyDescent="0.25">
      <c r="A108" s="2">
        <v>45862</v>
      </c>
      <c r="B108">
        <f t="shared" ca="1" si="9"/>
        <v>390</v>
      </c>
      <c r="C108" s="1">
        <v>6000000</v>
      </c>
      <c r="D108" s="1">
        <v>10000</v>
      </c>
      <c r="E108" s="1">
        <f t="shared" si="10"/>
        <v>60000</v>
      </c>
      <c r="F108" s="1">
        <v>50000</v>
      </c>
      <c r="G108" s="1">
        <f t="shared" ca="1" si="11"/>
        <v>3900000</v>
      </c>
      <c r="H108" t="s">
        <v>401</v>
      </c>
      <c r="I108" t="s">
        <v>14</v>
      </c>
      <c r="J108" t="s">
        <v>215</v>
      </c>
      <c r="K108" t="s">
        <v>216</v>
      </c>
      <c r="L108">
        <v>1000000106</v>
      </c>
      <c r="M108" s="1">
        <v>3365020</v>
      </c>
      <c r="N108" s="1">
        <v>34000</v>
      </c>
      <c r="O108" s="1">
        <f t="shared" ca="1" si="12"/>
        <v>534980</v>
      </c>
      <c r="P108" s="1">
        <f>C108-M108</f>
        <v>2634980</v>
      </c>
      <c r="Q108" t="str">
        <f t="shared" ca="1" si="13"/>
        <v>Non-compliant</v>
      </c>
      <c r="R108" t="s">
        <v>205</v>
      </c>
      <c r="S108" s="3">
        <f t="shared" si="14"/>
        <v>0.56083666666666665</v>
      </c>
      <c r="T108" s="3">
        <f ca="1">M108/G108</f>
        <v>0.86282564102564108</v>
      </c>
      <c r="U108" s="3">
        <f t="shared" si="15"/>
        <v>0.56666666666666665</v>
      </c>
      <c r="V108" s="1">
        <f t="shared" ca="1" si="16"/>
        <v>53.497999999999998</v>
      </c>
      <c r="W108" t="str">
        <f t="shared" ca="1" si="17"/>
        <v>Needs Monitoring</v>
      </c>
      <c r="X108" t="s">
        <v>453</v>
      </c>
    </row>
    <row r="109" spans="1:24" x14ac:dyDescent="0.25">
      <c r="A109" s="2">
        <v>45823</v>
      </c>
      <c r="B109">
        <f t="shared" ca="1" si="9"/>
        <v>433</v>
      </c>
      <c r="C109" s="1">
        <v>6000000</v>
      </c>
      <c r="D109" s="1">
        <v>10000</v>
      </c>
      <c r="E109" s="1">
        <f t="shared" si="10"/>
        <v>60000</v>
      </c>
      <c r="F109" s="1">
        <v>50000</v>
      </c>
      <c r="G109" s="1">
        <f t="shared" ca="1" si="11"/>
        <v>4330000</v>
      </c>
      <c r="H109" t="s">
        <v>402</v>
      </c>
      <c r="I109" t="s">
        <v>14</v>
      </c>
      <c r="J109" t="s">
        <v>217</v>
      </c>
      <c r="K109" t="s">
        <v>218</v>
      </c>
      <c r="L109">
        <v>1000000107</v>
      </c>
      <c r="M109" s="1">
        <v>3794814</v>
      </c>
      <c r="N109" s="1">
        <v>63000</v>
      </c>
      <c r="O109" s="1">
        <f t="shared" ca="1" si="12"/>
        <v>535186</v>
      </c>
      <c r="P109" s="1">
        <f>C109-M109</f>
        <v>2205186</v>
      </c>
      <c r="Q109" t="str">
        <f t="shared" ca="1" si="13"/>
        <v>Non-compliant</v>
      </c>
      <c r="R109" t="s">
        <v>205</v>
      </c>
      <c r="S109" s="3">
        <f t="shared" si="14"/>
        <v>0.63246899999999995</v>
      </c>
      <c r="T109" s="3">
        <f ca="1">M109/G109</f>
        <v>0.87640046189376442</v>
      </c>
      <c r="U109" s="3">
        <f t="shared" si="15"/>
        <v>1.05</v>
      </c>
      <c r="V109" s="1">
        <f t="shared" ca="1" si="16"/>
        <v>53.518599999999999</v>
      </c>
      <c r="W109" t="str">
        <f t="shared" ca="1" si="17"/>
        <v>Needs Monitoring</v>
      </c>
      <c r="X109" t="s">
        <v>452</v>
      </c>
    </row>
    <row r="110" spans="1:24" x14ac:dyDescent="0.25">
      <c r="A110" s="2">
        <v>45773</v>
      </c>
      <c r="B110">
        <f t="shared" ca="1" si="9"/>
        <v>480</v>
      </c>
      <c r="C110" s="1">
        <v>6000000</v>
      </c>
      <c r="D110" s="1">
        <v>11000</v>
      </c>
      <c r="E110" s="1">
        <f t="shared" si="10"/>
        <v>66000</v>
      </c>
      <c r="F110" s="1">
        <v>100000</v>
      </c>
      <c r="G110" s="1">
        <f t="shared" ca="1" si="11"/>
        <v>5280000</v>
      </c>
      <c r="H110" t="s">
        <v>403</v>
      </c>
      <c r="I110" t="s">
        <v>142</v>
      </c>
      <c r="J110" t="s">
        <v>219</v>
      </c>
      <c r="K110" t="s">
        <v>220</v>
      </c>
      <c r="L110">
        <v>1000000108</v>
      </c>
      <c r="M110" s="1">
        <v>4278883</v>
      </c>
      <c r="N110" s="1">
        <v>0</v>
      </c>
      <c r="O110" s="1">
        <f t="shared" ca="1" si="12"/>
        <v>1001117</v>
      </c>
      <c r="P110" s="1">
        <f>C110-M110</f>
        <v>1721117</v>
      </c>
      <c r="Q110" t="str">
        <f t="shared" ca="1" si="13"/>
        <v>Non-compliant</v>
      </c>
      <c r="R110" t="s">
        <v>205</v>
      </c>
      <c r="S110" s="3">
        <f t="shared" si="14"/>
        <v>0.71314716666666667</v>
      </c>
      <c r="T110" s="3">
        <f ca="1">M110/G110</f>
        <v>0.81039450757575759</v>
      </c>
      <c r="U110" s="3">
        <f t="shared" si="15"/>
        <v>0</v>
      </c>
      <c r="V110" s="1">
        <f t="shared" ca="1" si="16"/>
        <v>91.010636363636365</v>
      </c>
      <c r="W110" t="str">
        <f t="shared" ca="1" si="17"/>
        <v>Needs Monitoring</v>
      </c>
      <c r="X110" t="s">
        <v>452</v>
      </c>
    </row>
    <row r="111" spans="1:24" x14ac:dyDescent="0.25">
      <c r="A111" s="2">
        <v>45718</v>
      </c>
      <c r="B111">
        <f t="shared" ca="1" si="9"/>
        <v>473</v>
      </c>
      <c r="C111" s="1">
        <v>6000000</v>
      </c>
      <c r="D111" s="1">
        <v>11000</v>
      </c>
      <c r="E111" s="1">
        <f t="shared" si="10"/>
        <v>66000</v>
      </c>
      <c r="F111" s="1">
        <v>100000</v>
      </c>
      <c r="G111" s="1">
        <f t="shared" ca="1" si="11"/>
        <v>5203000</v>
      </c>
      <c r="H111" t="s">
        <v>404</v>
      </c>
      <c r="I111" t="s">
        <v>14</v>
      </c>
      <c r="J111" t="s">
        <v>221</v>
      </c>
      <c r="K111" t="s">
        <v>222</v>
      </c>
      <c r="L111">
        <v>1000000109</v>
      </c>
      <c r="M111" s="1">
        <v>4993289</v>
      </c>
      <c r="N111" s="1">
        <v>54000</v>
      </c>
      <c r="O111" s="1">
        <f t="shared" ca="1" si="12"/>
        <v>209711</v>
      </c>
      <c r="P111" s="1">
        <f>C111-M111</f>
        <v>1006711</v>
      </c>
      <c r="Q111" t="str">
        <f t="shared" ca="1" si="13"/>
        <v>Non-compliant</v>
      </c>
      <c r="R111" t="s">
        <v>205</v>
      </c>
      <c r="S111" s="3">
        <f t="shared" si="14"/>
        <v>0.83221483333333335</v>
      </c>
      <c r="T111" s="3">
        <f ca="1">M111/G111</f>
        <v>0.95969421487603301</v>
      </c>
      <c r="U111" s="3">
        <f t="shared" si="15"/>
        <v>0.81818181818181823</v>
      </c>
      <c r="V111" s="1">
        <f t="shared" ca="1" si="16"/>
        <v>19.064636363636364</v>
      </c>
      <c r="W111" t="str">
        <f t="shared" ca="1" si="17"/>
        <v>Good</v>
      </c>
      <c r="X111" t="s">
        <v>453</v>
      </c>
    </row>
    <row r="112" spans="1:24" x14ac:dyDescent="0.25">
      <c r="A112" s="2">
        <v>45727</v>
      </c>
      <c r="B112">
        <f t="shared" ca="1" si="9"/>
        <v>393</v>
      </c>
      <c r="C112" s="1">
        <v>6000000</v>
      </c>
      <c r="D112" s="1">
        <v>11000</v>
      </c>
      <c r="E112" s="1">
        <f t="shared" si="10"/>
        <v>66000</v>
      </c>
      <c r="F112" s="1">
        <v>50000</v>
      </c>
      <c r="G112" s="1">
        <f t="shared" ca="1" si="11"/>
        <v>4323000</v>
      </c>
      <c r="H112" t="s">
        <v>405</v>
      </c>
      <c r="I112" t="s">
        <v>14</v>
      </c>
      <c r="J112" t="s">
        <v>223</v>
      </c>
      <c r="K112" t="s">
        <v>224</v>
      </c>
      <c r="L112">
        <v>1000000110</v>
      </c>
      <c r="M112" s="1">
        <v>2890000</v>
      </c>
      <c r="N112" s="1">
        <v>66000</v>
      </c>
      <c r="O112" s="1">
        <f t="shared" ca="1" si="12"/>
        <v>1433000</v>
      </c>
      <c r="P112" s="1">
        <f>C112-M112</f>
        <v>3110000</v>
      </c>
      <c r="Q112" t="str">
        <f t="shared" ca="1" si="13"/>
        <v>Non-compliant</v>
      </c>
      <c r="R112" t="s">
        <v>205</v>
      </c>
      <c r="S112" s="3">
        <f t="shared" si="14"/>
        <v>0.48166666666666669</v>
      </c>
      <c r="T112" s="3">
        <f ca="1">M112/G112</f>
        <v>0.66851723340272962</v>
      </c>
      <c r="U112" s="3">
        <f t="shared" si="15"/>
        <v>1</v>
      </c>
      <c r="V112" s="1">
        <f t="shared" ca="1" si="16"/>
        <v>130.27272727272728</v>
      </c>
      <c r="W112" t="str">
        <f t="shared" ca="1" si="17"/>
        <v>Poor</v>
      </c>
      <c r="X112" t="s">
        <v>453</v>
      </c>
    </row>
    <row r="113" spans="1:24" x14ac:dyDescent="0.25">
      <c r="A113" s="2">
        <v>45820</v>
      </c>
      <c r="B113">
        <f t="shared" ca="1" si="9"/>
        <v>414</v>
      </c>
      <c r="C113" s="1">
        <v>6000000</v>
      </c>
      <c r="D113" s="1">
        <v>10000</v>
      </c>
      <c r="E113" s="1">
        <f t="shared" si="10"/>
        <v>60000</v>
      </c>
      <c r="F113" s="1">
        <v>75000</v>
      </c>
      <c r="G113" s="1">
        <f t="shared" ca="1" si="11"/>
        <v>4140000</v>
      </c>
      <c r="H113" t="s">
        <v>406</v>
      </c>
      <c r="I113" t="s">
        <v>14</v>
      </c>
      <c r="J113" t="s">
        <v>225</v>
      </c>
      <c r="K113" t="s">
        <v>226</v>
      </c>
      <c r="L113">
        <v>1000000111</v>
      </c>
      <c r="M113" s="1">
        <v>3568535</v>
      </c>
      <c r="N113" s="1">
        <v>27000</v>
      </c>
      <c r="O113" s="1">
        <f t="shared" ca="1" si="12"/>
        <v>571465</v>
      </c>
      <c r="P113" s="1">
        <f>C113-M113</f>
        <v>2431465</v>
      </c>
      <c r="Q113" t="str">
        <f t="shared" ca="1" si="13"/>
        <v>Non-compliant</v>
      </c>
      <c r="R113" t="s">
        <v>205</v>
      </c>
      <c r="S113" s="3">
        <f t="shared" si="14"/>
        <v>0.59475583333333337</v>
      </c>
      <c r="T113" s="3">
        <f ca="1">M113/G113</f>
        <v>0.86196497584541065</v>
      </c>
      <c r="U113" s="3">
        <f t="shared" si="15"/>
        <v>0.45</v>
      </c>
      <c r="V113" s="1">
        <f t="shared" ca="1" si="16"/>
        <v>57.146500000000003</v>
      </c>
      <c r="W113" t="str">
        <f t="shared" ca="1" si="17"/>
        <v>Needs Monitoring</v>
      </c>
      <c r="X113" t="s">
        <v>452</v>
      </c>
    </row>
    <row r="114" spans="1:24" x14ac:dyDescent="0.25">
      <c r="A114" s="2">
        <v>45796</v>
      </c>
      <c r="B114">
        <f t="shared" ca="1" si="9"/>
        <v>405</v>
      </c>
      <c r="C114" s="1">
        <v>6000000</v>
      </c>
      <c r="D114" s="1">
        <v>10000</v>
      </c>
      <c r="E114" s="1">
        <f t="shared" si="10"/>
        <v>60000</v>
      </c>
      <c r="F114" s="1">
        <v>50000</v>
      </c>
      <c r="G114" s="1">
        <f t="shared" ca="1" si="11"/>
        <v>4050000</v>
      </c>
      <c r="H114" t="s">
        <v>407</v>
      </c>
      <c r="I114" t="s">
        <v>142</v>
      </c>
      <c r="J114" t="s">
        <v>227</v>
      </c>
      <c r="K114" t="s">
        <v>228</v>
      </c>
      <c r="L114">
        <v>1000000112</v>
      </c>
      <c r="M114" s="1">
        <v>3915001</v>
      </c>
      <c r="N114" s="1">
        <v>0</v>
      </c>
      <c r="O114" s="1">
        <f t="shared" ca="1" si="12"/>
        <v>134999</v>
      </c>
      <c r="P114" s="1">
        <f>C114-M114</f>
        <v>2084999</v>
      </c>
      <c r="Q114" t="str">
        <f t="shared" ca="1" si="13"/>
        <v>Non-compliant</v>
      </c>
      <c r="R114" t="s">
        <v>205</v>
      </c>
      <c r="S114" s="3">
        <f t="shared" si="14"/>
        <v>0.65250016666666666</v>
      </c>
      <c r="T114" s="3">
        <f ca="1">M114/G114</f>
        <v>0.96666691358024692</v>
      </c>
      <c r="U114" s="3">
        <f t="shared" si="15"/>
        <v>0</v>
      </c>
      <c r="V114" s="1">
        <f t="shared" ca="1" si="16"/>
        <v>13.4999</v>
      </c>
      <c r="W114" t="str">
        <f t="shared" ca="1" si="17"/>
        <v>Good</v>
      </c>
      <c r="X114" t="s">
        <v>453</v>
      </c>
    </row>
    <row r="115" spans="1:24" x14ac:dyDescent="0.25">
      <c r="A115" s="2">
        <v>45806</v>
      </c>
      <c r="B115">
        <f t="shared" ca="1" si="9"/>
        <v>380</v>
      </c>
      <c r="C115" s="1">
        <v>6000000</v>
      </c>
      <c r="D115" s="1">
        <v>9000</v>
      </c>
      <c r="E115" s="1">
        <f t="shared" si="10"/>
        <v>54000</v>
      </c>
      <c r="F115" s="1">
        <v>50000</v>
      </c>
      <c r="G115" s="1">
        <f t="shared" ca="1" si="11"/>
        <v>3420000</v>
      </c>
      <c r="H115" t="s">
        <v>408</v>
      </c>
      <c r="I115" t="s">
        <v>14</v>
      </c>
      <c r="J115" t="s">
        <v>229</v>
      </c>
      <c r="K115" t="s">
        <v>59</v>
      </c>
      <c r="L115">
        <v>1000000113</v>
      </c>
      <c r="M115" s="1">
        <v>3768467</v>
      </c>
      <c r="N115" s="1">
        <v>21500</v>
      </c>
      <c r="O115" s="1">
        <f t="shared" ca="1" si="12"/>
        <v>-348467</v>
      </c>
      <c r="P115" s="1">
        <f>C115-M115</f>
        <v>2231533</v>
      </c>
      <c r="Q115" t="str">
        <f t="shared" ca="1" si="13"/>
        <v>Compliant</v>
      </c>
      <c r="R115" t="s">
        <v>205</v>
      </c>
      <c r="S115" s="3">
        <f t="shared" si="14"/>
        <v>0.62807783333333334</v>
      </c>
      <c r="T115" s="3">
        <f ca="1">M115/G115</f>
        <v>1.1018909356725146</v>
      </c>
      <c r="U115" s="3">
        <f t="shared" si="15"/>
        <v>0.39814814814814814</v>
      </c>
      <c r="V115" s="1">
        <f t="shared" ca="1" si="16"/>
        <v>-38.718555555555554</v>
      </c>
      <c r="W115" t="str">
        <f t="shared" ca="1" si="17"/>
        <v>Good</v>
      </c>
      <c r="X115" t="s">
        <v>452</v>
      </c>
    </row>
    <row r="116" spans="1:24" x14ac:dyDescent="0.25">
      <c r="A116" s="2">
        <v>45835</v>
      </c>
      <c r="B116">
        <f t="shared" ca="1" si="9"/>
        <v>371</v>
      </c>
      <c r="C116" s="1">
        <v>6000000</v>
      </c>
      <c r="D116" s="1">
        <v>11000</v>
      </c>
      <c r="E116" s="1">
        <f t="shared" si="10"/>
        <v>66000</v>
      </c>
      <c r="F116" s="1">
        <v>100000</v>
      </c>
      <c r="G116" s="1">
        <f t="shared" ca="1" si="11"/>
        <v>4081000</v>
      </c>
      <c r="H116" t="s">
        <v>409</v>
      </c>
      <c r="I116" t="s">
        <v>14</v>
      </c>
      <c r="J116" t="s">
        <v>230</v>
      </c>
      <c r="K116" t="s">
        <v>198</v>
      </c>
      <c r="L116">
        <v>1000000114</v>
      </c>
      <c r="M116" s="1">
        <v>3791667</v>
      </c>
      <c r="N116" s="1">
        <v>64000</v>
      </c>
      <c r="O116" s="1">
        <f t="shared" ca="1" si="12"/>
        <v>289333</v>
      </c>
      <c r="P116" s="1">
        <f>C116-M116</f>
        <v>2208333</v>
      </c>
      <c r="Q116" t="str">
        <f t="shared" ca="1" si="13"/>
        <v>Non-compliant</v>
      </c>
      <c r="R116" t="s">
        <v>205</v>
      </c>
      <c r="S116" s="3">
        <f t="shared" si="14"/>
        <v>0.63194450000000002</v>
      </c>
      <c r="T116" s="3">
        <f ca="1">M116/G116</f>
        <v>0.92910242587601077</v>
      </c>
      <c r="U116" s="3">
        <f t="shared" si="15"/>
        <v>0.96969696969696972</v>
      </c>
      <c r="V116" s="1">
        <f t="shared" ca="1" si="16"/>
        <v>26.303000000000001</v>
      </c>
      <c r="W116" t="str">
        <f t="shared" ca="1" si="17"/>
        <v>Good</v>
      </c>
      <c r="X116" t="s">
        <v>452</v>
      </c>
    </row>
    <row r="117" spans="1:24" x14ac:dyDescent="0.25">
      <c r="A117" s="2">
        <v>45846</v>
      </c>
      <c r="B117">
        <f t="shared" ca="1" si="9"/>
        <v>354</v>
      </c>
      <c r="C117" s="1">
        <v>6000000</v>
      </c>
      <c r="D117" s="1">
        <v>10000</v>
      </c>
      <c r="E117" s="1">
        <f t="shared" si="10"/>
        <v>60000</v>
      </c>
      <c r="F117" s="1">
        <v>75000</v>
      </c>
      <c r="G117" s="1">
        <f t="shared" ca="1" si="11"/>
        <v>3540000</v>
      </c>
      <c r="H117" t="s">
        <v>410</v>
      </c>
      <c r="I117" t="s">
        <v>142</v>
      </c>
      <c r="J117" t="s">
        <v>231</v>
      </c>
      <c r="K117" t="s">
        <v>232</v>
      </c>
      <c r="L117">
        <v>1000000115</v>
      </c>
      <c r="M117" s="1">
        <v>2681677</v>
      </c>
      <c r="N117" s="1">
        <v>0</v>
      </c>
      <c r="O117" s="1">
        <f t="shared" ca="1" si="12"/>
        <v>858323</v>
      </c>
      <c r="P117" s="1">
        <f>C117-M117</f>
        <v>3318323</v>
      </c>
      <c r="Q117" t="str">
        <f t="shared" ca="1" si="13"/>
        <v>Non-compliant</v>
      </c>
      <c r="R117" t="s">
        <v>205</v>
      </c>
      <c r="S117" s="3">
        <f t="shared" si="14"/>
        <v>0.44694616666666664</v>
      </c>
      <c r="T117" s="3">
        <f ca="1">M117/G117</f>
        <v>0.75753587570621472</v>
      </c>
      <c r="U117" s="3">
        <f t="shared" si="15"/>
        <v>0</v>
      </c>
      <c r="V117" s="1">
        <f t="shared" ca="1" si="16"/>
        <v>85.832300000000004</v>
      </c>
      <c r="W117" t="str">
        <f t="shared" ca="1" si="17"/>
        <v>Needs Monitoring</v>
      </c>
      <c r="X117" t="s">
        <v>453</v>
      </c>
    </row>
    <row r="118" spans="1:24" x14ac:dyDescent="0.25">
      <c r="A118" s="2">
        <v>45865</v>
      </c>
      <c r="B118">
        <f t="shared" ca="1" si="9"/>
        <v>407</v>
      </c>
      <c r="C118" s="1">
        <v>6000000</v>
      </c>
      <c r="D118" s="1">
        <v>10000</v>
      </c>
      <c r="E118" s="1">
        <f t="shared" si="10"/>
        <v>60000</v>
      </c>
      <c r="F118" s="1">
        <v>75000</v>
      </c>
      <c r="G118" s="1">
        <f t="shared" ca="1" si="11"/>
        <v>4070000</v>
      </c>
      <c r="H118" t="s">
        <v>411</v>
      </c>
      <c r="I118" t="s">
        <v>14</v>
      </c>
      <c r="J118" t="s">
        <v>233</v>
      </c>
      <c r="K118" t="s">
        <v>234</v>
      </c>
      <c r="L118">
        <v>1000000116</v>
      </c>
      <c r="M118" s="1">
        <v>2921508</v>
      </c>
      <c r="N118" s="1">
        <v>46500</v>
      </c>
      <c r="O118" s="1">
        <f t="shared" ca="1" si="12"/>
        <v>1148492</v>
      </c>
      <c r="P118" s="1">
        <f>C118-M118</f>
        <v>3078492</v>
      </c>
      <c r="Q118" t="str">
        <f t="shared" ca="1" si="13"/>
        <v>Non-compliant</v>
      </c>
      <c r="R118" t="s">
        <v>205</v>
      </c>
      <c r="S118" s="3">
        <f t="shared" si="14"/>
        <v>0.48691800000000002</v>
      </c>
      <c r="T118" s="3">
        <f ca="1">M118/G118</f>
        <v>0.71781523341523346</v>
      </c>
      <c r="U118" s="3">
        <f t="shared" si="15"/>
        <v>0.77500000000000002</v>
      </c>
      <c r="V118" s="1">
        <f t="shared" ca="1" si="16"/>
        <v>114.8492</v>
      </c>
      <c r="W118" t="str">
        <f t="shared" ca="1" si="17"/>
        <v>Needs Monitoring</v>
      </c>
      <c r="X118" t="s">
        <v>452</v>
      </c>
    </row>
    <row r="119" spans="1:24" x14ac:dyDescent="0.25">
      <c r="A119" s="2">
        <v>45804</v>
      </c>
      <c r="B119">
        <f t="shared" ca="1" si="9"/>
        <v>420</v>
      </c>
      <c r="C119" s="1">
        <v>6000000</v>
      </c>
      <c r="D119" s="1">
        <v>10000</v>
      </c>
      <c r="E119" s="1">
        <f t="shared" si="10"/>
        <v>60000</v>
      </c>
      <c r="F119" s="1">
        <v>100000</v>
      </c>
      <c r="G119" s="1">
        <f t="shared" ca="1" si="11"/>
        <v>4200000</v>
      </c>
      <c r="H119" t="s">
        <v>412</v>
      </c>
      <c r="I119" t="s">
        <v>14</v>
      </c>
      <c r="J119" t="s">
        <v>235</v>
      </c>
      <c r="K119" t="s">
        <v>236</v>
      </c>
      <c r="L119">
        <v>1000000117</v>
      </c>
      <c r="M119" s="1">
        <v>4351600</v>
      </c>
      <c r="N119" s="1">
        <v>38500</v>
      </c>
      <c r="O119" s="1">
        <f t="shared" ca="1" si="12"/>
        <v>-151600</v>
      </c>
      <c r="P119" s="1">
        <f>C119-M119</f>
        <v>1648400</v>
      </c>
      <c r="Q119" t="str">
        <f t="shared" ca="1" si="13"/>
        <v>Compliant</v>
      </c>
      <c r="R119" t="s">
        <v>205</v>
      </c>
      <c r="S119" s="3">
        <f t="shared" si="14"/>
        <v>0.72526666666666662</v>
      </c>
      <c r="T119" s="3">
        <f ca="1">M119/G119</f>
        <v>1.0360952380952382</v>
      </c>
      <c r="U119" s="3">
        <f t="shared" si="15"/>
        <v>0.64166666666666672</v>
      </c>
      <c r="V119" s="1">
        <f t="shared" ca="1" si="16"/>
        <v>-15.16</v>
      </c>
      <c r="W119" t="str">
        <f t="shared" ca="1" si="17"/>
        <v>Good</v>
      </c>
      <c r="X119" t="s">
        <v>453</v>
      </c>
    </row>
    <row r="120" spans="1:24" x14ac:dyDescent="0.25">
      <c r="A120" s="2">
        <v>45789</v>
      </c>
      <c r="B120">
        <f t="shared" ca="1" si="9"/>
        <v>337</v>
      </c>
      <c r="C120" s="1">
        <v>6000000</v>
      </c>
      <c r="D120" s="1">
        <v>11000</v>
      </c>
      <c r="E120" s="1">
        <f t="shared" si="10"/>
        <v>66000</v>
      </c>
      <c r="F120" s="1">
        <v>75000</v>
      </c>
      <c r="G120" s="1">
        <f t="shared" ca="1" si="11"/>
        <v>3707000</v>
      </c>
      <c r="H120" t="s">
        <v>413</v>
      </c>
      <c r="I120" t="s">
        <v>142</v>
      </c>
      <c r="J120" t="s">
        <v>237</v>
      </c>
      <c r="K120" t="s">
        <v>238</v>
      </c>
      <c r="L120">
        <v>1000000118</v>
      </c>
      <c r="M120" s="1">
        <v>3201904</v>
      </c>
      <c r="N120" s="1">
        <v>33500</v>
      </c>
      <c r="O120" s="1">
        <f t="shared" ca="1" si="12"/>
        <v>505096</v>
      </c>
      <c r="P120" s="1">
        <f>C120-M120</f>
        <v>2798096</v>
      </c>
      <c r="Q120" t="str">
        <f t="shared" ca="1" si="13"/>
        <v>Non-compliant</v>
      </c>
      <c r="R120" t="s">
        <v>205</v>
      </c>
      <c r="S120" s="3">
        <f t="shared" si="14"/>
        <v>0.53365066666666672</v>
      </c>
      <c r="T120" s="3">
        <f ca="1">M120/G120</f>
        <v>0.86374534664148905</v>
      </c>
      <c r="U120" s="3">
        <f t="shared" si="15"/>
        <v>0.50757575757575757</v>
      </c>
      <c r="V120" s="1">
        <f t="shared" ca="1" si="16"/>
        <v>45.917818181818184</v>
      </c>
      <c r="W120" t="str">
        <f t="shared" ca="1" si="17"/>
        <v>Needs Monitoring</v>
      </c>
      <c r="X120" t="s">
        <v>452</v>
      </c>
    </row>
    <row r="121" spans="1:24" x14ac:dyDescent="0.25">
      <c r="A121" s="2">
        <v>45885</v>
      </c>
      <c r="B121">
        <f t="shared" ca="1" si="9"/>
        <v>414</v>
      </c>
      <c r="C121" s="1">
        <v>6000000</v>
      </c>
      <c r="D121" s="1">
        <v>9000</v>
      </c>
      <c r="E121" s="1">
        <f t="shared" si="10"/>
        <v>54000</v>
      </c>
      <c r="F121" s="1">
        <v>75000</v>
      </c>
      <c r="G121" s="1">
        <f t="shared" ca="1" si="11"/>
        <v>3726000</v>
      </c>
      <c r="H121" t="s">
        <v>414</v>
      </c>
      <c r="I121" t="s">
        <v>14</v>
      </c>
      <c r="J121" t="s">
        <v>239</v>
      </c>
      <c r="K121" t="s">
        <v>240</v>
      </c>
      <c r="L121">
        <v>1000000119</v>
      </c>
      <c r="M121" s="1">
        <v>2777770</v>
      </c>
      <c r="N121" s="1">
        <v>23000</v>
      </c>
      <c r="O121" s="1">
        <f t="shared" ca="1" si="12"/>
        <v>948230</v>
      </c>
      <c r="P121" s="1">
        <f>C121-M121</f>
        <v>3222230</v>
      </c>
      <c r="Q121" t="str">
        <f t="shared" ca="1" si="13"/>
        <v>Non-compliant</v>
      </c>
      <c r="R121" t="s">
        <v>205</v>
      </c>
      <c r="S121" s="3">
        <f t="shared" si="14"/>
        <v>0.46296166666666666</v>
      </c>
      <c r="T121" s="3">
        <f ca="1">M121/G121</f>
        <v>0.74550993022007517</v>
      </c>
      <c r="U121" s="3">
        <f t="shared" si="15"/>
        <v>0.42592592592592593</v>
      </c>
      <c r="V121" s="1">
        <f t="shared" ca="1" si="16"/>
        <v>105.35888888888888</v>
      </c>
      <c r="W121" t="str">
        <f t="shared" ca="1" si="17"/>
        <v>Needs Monitoring</v>
      </c>
      <c r="X121" t="s">
        <v>453</v>
      </c>
    </row>
    <row r="122" spans="1:24" x14ac:dyDescent="0.25">
      <c r="A122" s="2">
        <v>45796</v>
      </c>
      <c r="B122">
        <f t="shared" ca="1" si="9"/>
        <v>402</v>
      </c>
      <c r="C122" s="1">
        <v>6000000</v>
      </c>
      <c r="D122" s="1">
        <v>11000</v>
      </c>
      <c r="E122" s="1">
        <f t="shared" si="10"/>
        <v>66000</v>
      </c>
      <c r="F122" s="1">
        <v>100000</v>
      </c>
      <c r="G122" s="1">
        <f t="shared" ca="1" si="11"/>
        <v>4422000</v>
      </c>
      <c r="H122" t="s">
        <v>415</v>
      </c>
      <c r="I122" t="s">
        <v>142</v>
      </c>
      <c r="J122" t="s">
        <v>241</v>
      </c>
      <c r="K122" t="s">
        <v>242</v>
      </c>
      <c r="L122">
        <v>1000000120</v>
      </c>
      <c r="M122" s="1">
        <v>4069028</v>
      </c>
      <c r="N122" s="1">
        <v>0</v>
      </c>
      <c r="O122" s="1">
        <f t="shared" ca="1" si="12"/>
        <v>352972</v>
      </c>
      <c r="P122" s="1">
        <f>C122-M122</f>
        <v>1930972</v>
      </c>
      <c r="Q122" t="str">
        <f t="shared" ca="1" si="13"/>
        <v>Non-compliant</v>
      </c>
      <c r="R122" t="s">
        <v>205</v>
      </c>
      <c r="S122" s="3">
        <f t="shared" si="14"/>
        <v>0.67817133333333335</v>
      </c>
      <c r="T122" s="3">
        <f ca="1">M122/G122</f>
        <v>0.92017819990954319</v>
      </c>
      <c r="U122" s="3">
        <f t="shared" si="15"/>
        <v>0</v>
      </c>
      <c r="V122" s="1">
        <f t="shared" ca="1" si="16"/>
        <v>32.088363636363638</v>
      </c>
      <c r="W122" t="str">
        <f t="shared" ca="1" si="17"/>
        <v>Good</v>
      </c>
      <c r="X122" t="s">
        <v>452</v>
      </c>
    </row>
    <row r="123" spans="1:24" x14ac:dyDescent="0.25">
      <c r="A123" s="2">
        <v>45809</v>
      </c>
      <c r="B123">
        <f t="shared" ca="1" si="9"/>
        <v>371</v>
      </c>
      <c r="C123" s="1">
        <v>6000000</v>
      </c>
      <c r="D123" s="1">
        <v>10000</v>
      </c>
      <c r="E123" s="1">
        <f t="shared" si="10"/>
        <v>60000</v>
      </c>
      <c r="F123" s="1">
        <v>50000</v>
      </c>
      <c r="G123" s="1">
        <f t="shared" ca="1" si="11"/>
        <v>3710000</v>
      </c>
      <c r="H123" t="s">
        <v>416</v>
      </c>
      <c r="I123" t="s">
        <v>14</v>
      </c>
      <c r="J123" t="s">
        <v>243</v>
      </c>
      <c r="K123" t="s">
        <v>202</v>
      </c>
      <c r="L123">
        <v>1000000121</v>
      </c>
      <c r="M123" s="1">
        <v>4449267</v>
      </c>
      <c r="N123" s="1">
        <v>41000</v>
      </c>
      <c r="O123" s="1">
        <f t="shared" ca="1" si="12"/>
        <v>-739267</v>
      </c>
      <c r="P123" s="1">
        <f>C123-M123</f>
        <v>1550733</v>
      </c>
      <c r="Q123" t="str">
        <f t="shared" ca="1" si="13"/>
        <v>Compliant</v>
      </c>
      <c r="R123" t="s">
        <v>205</v>
      </c>
      <c r="S123" s="3">
        <f t="shared" si="14"/>
        <v>0.74154450000000005</v>
      </c>
      <c r="T123" s="3">
        <f ca="1">M123/G123</f>
        <v>1.1992633423180592</v>
      </c>
      <c r="U123" s="3">
        <f t="shared" si="15"/>
        <v>0.68333333333333335</v>
      </c>
      <c r="V123" s="1">
        <f t="shared" ca="1" si="16"/>
        <v>-73.926699999999997</v>
      </c>
      <c r="W123" t="str">
        <f t="shared" ca="1" si="17"/>
        <v>Good</v>
      </c>
      <c r="X123" t="s">
        <v>452</v>
      </c>
    </row>
    <row r="124" spans="1:24" x14ac:dyDescent="0.25">
      <c r="A124" s="2">
        <v>45846</v>
      </c>
      <c r="B124">
        <f t="shared" ca="1" si="9"/>
        <v>391</v>
      </c>
      <c r="C124" s="1">
        <v>6000000</v>
      </c>
      <c r="D124" s="1">
        <v>10000</v>
      </c>
      <c r="E124" s="1">
        <f t="shared" si="10"/>
        <v>60000</v>
      </c>
      <c r="F124" s="1">
        <v>100000</v>
      </c>
      <c r="G124" s="1">
        <f t="shared" ca="1" si="11"/>
        <v>3910000</v>
      </c>
      <c r="H124" t="s">
        <v>417</v>
      </c>
      <c r="I124" t="s">
        <v>14</v>
      </c>
      <c r="J124" t="s">
        <v>244</v>
      </c>
      <c r="K124" t="s">
        <v>245</v>
      </c>
      <c r="L124">
        <v>1000000122</v>
      </c>
      <c r="M124" s="1">
        <v>2454832</v>
      </c>
      <c r="N124" s="1">
        <v>27500</v>
      </c>
      <c r="O124" s="1">
        <f t="shared" ca="1" si="12"/>
        <v>1455168</v>
      </c>
      <c r="P124" s="1">
        <f>C124-M124</f>
        <v>3545168</v>
      </c>
      <c r="Q124" t="str">
        <f t="shared" ca="1" si="13"/>
        <v>Non-compliant</v>
      </c>
      <c r="R124" t="s">
        <v>205</v>
      </c>
      <c r="S124" s="3">
        <f t="shared" si="14"/>
        <v>0.40913866666666665</v>
      </c>
      <c r="T124" s="3">
        <f ca="1">M124/G124</f>
        <v>0.62783427109974421</v>
      </c>
      <c r="U124" s="3">
        <f t="shared" si="15"/>
        <v>0.45833333333333331</v>
      </c>
      <c r="V124" s="1">
        <f t="shared" ca="1" si="16"/>
        <v>145.51679999999999</v>
      </c>
      <c r="W124" t="str">
        <f t="shared" ca="1" si="17"/>
        <v>Poor</v>
      </c>
      <c r="X124" t="s">
        <v>453</v>
      </c>
    </row>
    <row r="125" spans="1:24" x14ac:dyDescent="0.25">
      <c r="A125" s="2">
        <v>45822</v>
      </c>
      <c r="B125">
        <f t="shared" ca="1" si="9"/>
        <v>439</v>
      </c>
      <c r="C125" s="1">
        <v>6000000</v>
      </c>
      <c r="D125" s="1">
        <v>10000</v>
      </c>
      <c r="E125" s="1">
        <f t="shared" si="10"/>
        <v>60000</v>
      </c>
      <c r="F125" s="1">
        <v>100000</v>
      </c>
      <c r="G125" s="1">
        <f t="shared" ca="1" si="11"/>
        <v>4390000</v>
      </c>
      <c r="H125" t="s">
        <v>418</v>
      </c>
      <c r="I125" t="s">
        <v>14</v>
      </c>
      <c r="J125" t="s">
        <v>246</v>
      </c>
      <c r="K125" t="s">
        <v>247</v>
      </c>
      <c r="L125">
        <v>1000000123</v>
      </c>
      <c r="M125" s="1">
        <v>3701459</v>
      </c>
      <c r="N125" s="1">
        <v>30500</v>
      </c>
      <c r="O125" s="1">
        <f t="shared" ca="1" si="12"/>
        <v>688541</v>
      </c>
      <c r="P125" s="1">
        <f>C125-M125</f>
        <v>2298541</v>
      </c>
      <c r="Q125" t="str">
        <f t="shared" ca="1" si="13"/>
        <v>Non-compliant</v>
      </c>
      <c r="R125" t="s">
        <v>205</v>
      </c>
      <c r="S125" s="3">
        <f t="shared" si="14"/>
        <v>0.61690983333333338</v>
      </c>
      <c r="T125" s="3">
        <f ca="1">M125/G125</f>
        <v>0.84315694760820048</v>
      </c>
      <c r="U125" s="3">
        <f t="shared" si="15"/>
        <v>0.5083333333333333</v>
      </c>
      <c r="V125" s="1">
        <f t="shared" ca="1" si="16"/>
        <v>68.854100000000003</v>
      </c>
      <c r="W125" t="str">
        <f t="shared" ca="1" si="17"/>
        <v>Needs Monitoring</v>
      </c>
      <c r="X125" t="s">
        <v>452</v>
      </c>
    </row>
    <row r="126" spans="1:24" x14ac:dyDescent="0.25">
      <c r="A126" s="2">
        <v>45766</v>
      </c>
      <c r="B126">
        <f t="shared" ca="1" si="9"/>
        <v>438</v>
      </c>
      <c r="C126" s="1">
        <v>6000000</v>
      </c>
      <c r="D126" s="1">
        <v>10000</v>
      </c>
      <c r="E126" s="1">
        <f t="shared" si="10"/>
        <v>60000</v>
      </c>
      <c r="F126" s="1">
        <v>100000</v>
      </c>
      <c r="G126" s="1">
        <f t="shared" ca="1" si="11"/>
        <v>4380000</v>
      </c>
      <c r="H126" t="s">
        <v>419</v>
      </c>
      <c r="I126" t="s">
        <v>14</v>
      </c>
      <c r="J126" t="s">
        <v>248</v>
      </c>
      <c r="K126" t="s">
        <v>249</v>
      </c>
      <c r="L126">
        <v>1000000124</v>
      </c>
      <c r="M126" s="1">
        <v>5759805</v>
      </c>
      <c r="N126" s="1">
        <v>70000</v>
      </c>
      <c r="O126" s="1">
        <f t="shared" ca="1" si="12"/>
        <v>-1379805</v>
      </c>
      <c r="P126" s="1">
        <f>C126-M126</f>
        <v>240195</v>
      </c>
      <c r="Q126" t="str">
        <f t="shared" ca="1" si="13"/>
        <v>Compliant</v>
      </c>
      <c r="R126" t="s">
        <v>205</v>
      </c>
      <c r="S126" s="3">
        <f t="shared" si="14"/>
        <v>0.95996749999999997</v>
      </c>
      <c r="T126" s="3">
        <f ca="1">M126/G126</f>
        <v>1.3150239726027397</v>
      </c>
      <c r="U126" s="3">
        <f t="shared" si="15"/>
        <v>1.1666666666666667</v>
      </c>
      <c r="V126" s="1">
        <f t="shared" ca="1" si="16"/>
        <v>-137.98050000000001</v>
      </c>
      <c r="W126" t="str">
        <f t="shared" ca="1" si="17"/>
        <v>Good</v>
      </c>
      <c r="X126" t="s">
        <v>453</v>
      </c>
    </row>
    <row r="127" spans="1:24" x14ac:dyDescent="0.25">
      <c r="A127" s="2">
        <v>45768</v>
      </c>
      <c r="B127">
        <f t="shared" ca="1" si="9"/>
        <v>446</v>
      </c>
      <c r="C127" s="1">
        <v>6000000</v>
      </c>
      <c r="D127" s="1">
        <v>9000</v>
      </c>
      <c r="E127" s="1">
        <f t="shared" si="10"/>
        <v>54000</v>
      </c>
      <c r="F127" s="1">
        <v>75000</v>
      </c>
      <c r="G127" s="1">
        <f t="shared" ca="1" si="11"/>
        <v>4014000</v>
      </c>
      <c r="H127" t="s">
        <v>420</v>
      </c>
      <c r="I127" t="s">
        <v>142</v>
      </c>
      <c r="J127" t="s">
        <v>250</v>
      </c>
      <c r="K127" t="s">
        <v>251</v>
      </c>
      <c r="L127">
        <v>1000000125</v>
      </c>
      <c r="M127" s="1">
        <v>3222624</v>
      </c>
      <c r="N127" s="1">
        <v>0</v>
      </c>
      <c r="O127" s="1">
        <f t="shared" ca="1" si="12"/>
        <v>791376</v>
      </c>
      <c r="P127" s="1">
        <f>C127-M127</f>
        <v>2777376</v>
      </c>
      <c r="Q127" t="str">
        <f t="shared" ca="1" si="13"/>
        <v>Non-compliant</v>
      </c>
      <c r="R127" t="s">
        <v>205</v>
      </c>
      <c r="S127" s="3">
        <f t="shared" si="14"/>
        <v>0.53710400000000003</v>
      </c>
      <c r="T127" s="3">
        <f ca="1">M127/G127</f>
        <v>0.8028460388639761</v>
      </c>
      <c r="U127" s="3">
        <f t="shared" si="15"/>
        <v>0</v>
      </c>
      <c r="V127" s="1">
        <f t="shared" ca="1" si="16"/>
        <v>87.930666666666667</v>
      </c>
      <c r="W127" t="str">
        <f t="shared" ca="1" si="17"/>
        <v>Needs Monitoring</v>
      </c>
      <c r="X127" t="s">
        <v>452</v>
      </c>
    </row>
    <row r="128" spans="1:24" x14ac:dyDescent="0.25">
      <c r="A128" s="2">
        <v>45758</v>
      </c>
      <c r="B128">
        <f t="shared" ca="1" si="9"/>
        <v>390</v>
      </c>
      <c r="C128" s="1">
        <v>6000000</v>
      </c>
      <c r="D128" s="1">
        <v>10000</v>
      </c>
      <c r="E128" s="1">
        <f t="shared" si="10"/>
        <v>60000</v>
      </c>
      <c r="F128" s="1">
        <v>75000</v>
      </c>
      <c r="G128" s="1">
        <f t="shared" ca="1" si="11"/>
        <v>3900000</v>
      </c>
      <c r="H128" t="s">
        <v>421</v>
      </c>
      <c r="I128" t="s">
        <v>14</v>
      </c>
      <c r="J128" t="s">
        <v>252</v>
      </c>
      <c r="K128" t="s">
        <v>253</v>
      </c>
      <c r="L128">
        <v>1000000126</v>
      </c>
      <c r="M128" s="1">
        <v>5968500</v>
      </c>
      <c r="N128" s="1">
        <v>70000</v>
      </c>
      <c r="O128" s="1">
        <f t="shared" ca="1" si="12"/>
        <v>-2068500</v>
      </c>
      <c r="P128" s="1">
        <f>C128-M128</f>
        <v>31500</v>
      </c>
      <c r="Q128" t="str">
        <f t="shared" ca="1" si="13"/>
        <v>Compliant</v>
      </c>
      <c r="R128" t="s">
        <v>205</v>
      </c>
      <c r="S128" s="3">
        <f t="shared" si="14"/>
        <v>0.99475000000000002</v>
      </c>
      <c r="T128" s="3">
        <f ca="1">M128/G128</f>
        <v>1.5303846153846155</v>
      </c>
      <c r="U128" s="3">
        <f t="shared" si="15"/>
        <v>1.1666666666666667</v>
      </c>
      <c r="V128" s="1">
        <f t="shared" ca="1" si="16"/>
        <v>-206.85</v>
      </c>
      <c r="W128" t="str">
        <f t="shared" ca="1" si="17"/>
        <v>Good</v>
      </c>
      <c r="X128" t="s">
        <v>453</v>
      </c>
    </row>
    <row r="129" spans="1:24" x14ac:dyDescent="0.25">
      <c r="A129" s="2">
        <v>45823</v>
      </c>
      <c r="B129">
        <f t="shared" ca="1" si="9"/>
        <v>450</v>
      </c>
      <c r="C129" s="1">
        <v>6000000</v>
      </c>
      <c r="D129" s="1">
        <v>10000</v>
      </c>
      <c r="E129" s="1">
        <f t="shared" si="10"/>
        <v>60000</v>
      </c>
      <c r="F129" s="1">
        <v>75000</v>
      </c>
      <c r="G129" s="1">
        <f t="shared" ca="1" si="11"/>
        <v>4500000</v>
      </c>
      <c r="H129" t="s">
        <v>422</v>
      </c>
      <c r="I129" t="s">
        <v>14</v>
      </c>
      <c r="J129" t="s">
        <v>254</v>
      </c>
      <c r="K129" t="s">
        <v>22</v>
      </c>
      <c r="L129">
        <v>1000000127</v>
      </c>
      <c r="M129" s="1">
        <v>2423590</v>
      </c>
      <c r="N129" s="1">
        <v>35000</v>
      </c>
      <c r="O129" s="1">
        <f t="shared" ca="1" si="12"/>
        <v>2076410</v>
      </c>
      <c r="P129" s="1">
        <f>C129-M129</f>
        <v>3576410</v>
      </c>
      <c r="Q129" t="str">
        <f t="shared" ca="1" si="13"/>
        <v>Non-compliant</v>
      </c>
      <c r="R129" t="s">
        <v>205</v>
      </c>
      <c r="S129" s="3">
        <f t="shared" si="14"/>
        <v>0.40393166666666669</v>
      </c>
      <c r="T129" s="3">
        <f ca="1">M129/G129</f>
        <v>0.53857555555555559</v>
      </c>
      <c r="U129" s="3">
        <f t="shared" si="15"/>
        <v>0.58333333333333337</v>
      </c>
      <c r="V129" s="1">
        <f t="shared" ca="1" si="16"/>
        <v>207.64099999999999</v>
      </c>
      <c r="W129" t="str">
        <f t="shared" ca="1" si="17"/>
        <v>Poor</v>
      </c>
      <c r="X129" t="s">
        <v>452</v>
      </c>
    </row>
    <row r="130" spans="1:24" x14ac:dyDescent="0.25">
      <c r="A130" s="2">
        <v>45754</v>
      </c>
      <c r="B130">
        <f t="shared" ca="1" si="9"/>
        <v>478</v>
      </c>
      <c r="C130" s="1">
        <v>6000000</v>
      </c>
      <c r="D130" s="1">
        <v>9000</v>
      </c>
      <c r="E130" s="1">
        <f t="shared" si="10"/>
        <v>54000</v>
      </c>
      <c r="F130" s="1">
        <v>50000</v>
      </c>
      <c r="G130" s="1">
        <f t="shared" ca="1" si="11"/>
        <v>4302000</v>
      </c>
      <c r="H130" t="s">
        <v>423</v>
      </c>
      <c r="I130" t="s">
        <v>14</v>
      </c>
      <c r="J130" t="s">
        <v>255</v>
      </c>
      <c r="K130" t="s">
        <v>192</v>
      </c>
      <c r="L130">
        <v>1000000128</v>
      </c>
      <c r="M130" s="1">
        <v>4977029</v>
      </c>
      <c r="N130" s="1">
        <v>45000</v>
      </c>
      <c r="O130" s="1">
        <f t="shared" ca="1" si="12"/>
        <v>-675029</v>
      </c>
      <c r="P130" s="1">
        <f>C130-M130</f>
        <v>1022971</v>
      </c>
      <c r="Q130" t="str">
        <f t="shared" ca="1" si="13"/>
        <v>Compliant</v>
      </c>
      <c r="R130" t="s">
        <v>205</v>
      </c>
      <c r="S130" s="3">
        <f t="shared" si="14"/>
        <v>0.82950483333333336</v>
      </c>
      <c r="T130" s="3">
        <f ca="1">M130/G130</f>
        <v>1.1569105067410508</v>
      </c>
      <c r="U130" s="3">
        <f t="shared" si="15"/>
        <v>0.83333333333333337</v>
      </c>
      <c r="V130" s="1">
        <f t="shared" ca="1" si="16"/>
        <v>-75.00322222222222</v>
      </c>
      <c r="W130" t="str">
        <f t="shared" ca="1" si="17"/>
        <v>Good</v>
      </c>
      <c r="X130" t="s">
        <v>452</v>
      </c>
    </row>
    <row r="131" spans="1:24" x14ac:dyDescent="0.25">
      <c r="A131" s="2">
        <v>45721</v>
      </c>
      <c r="B131">
        <f t="shared" ref="B131:B150" ca="1" si="18">NETWORKDAYS.INTL(A132,TODAY(),11)</f>
        <v>471</v>
      </c>
      <c r="C131" s="1">
        <v>6000000</v>
      </c>
      <c r="D131" s="1">
        <v>10000</v>
      </c>
      <c r="E131" s="1">
        <f t="shared" ref="E131:E151" si="19">D131*6</f>
        <v>60000</v>
      </c>
      <c r="F131" s="1">
        <v>50000</v>
      </c>
      <c r="G131" s="1">
        <f t="shared" ref="G131:G151" ca="1" si="20">B131*D131</f>
        <v>4710000</v>
      </c>
      <c r="H131" t="s">
        <v>424</v>
      </c>
      <c r="I131" t="s">
        <v>14</v>
      </c>
      <c r="J131" t="s">
        <v>256</v>
      </c>
      <c r="K131" t="s">
        <v>128</v>
      </c>
      <c r="L131">
        <v>1000000129</v>
      </c>
      <c r="M131" s="1">
        <v>5238269</v>
      </c>
      <c r="N131" s="1">
        <v>40000</v>
      </c>
      <c r="O131" s="1">
        <f t="shared" ref="O131:O151" ca="1" si="21">G131-M131</f>
        <v>-528269</v>
      </c>
      <c r="P131" s="1">
        <f>C131-M131</f>
        <v>761731</v>
      </c>
      <c r="Q131" t="str">
        <f t="shared" ref="Q131:Q151" ca="1" si="22">IF(O131&gt;15000,"Non-compliant","Compliant")</f>
        <v>Compliant</v>
      </c>
      <c r="R131" t="s">
        <v>205</v>
      </c>
      <c r="S131" s="3">
        <f t="shared" ref="S131:S151" si="23">M131/C131</f>
        <v>0.87304483333333338</v>
      </c>
      <c r="T131" s="3">
        <f ca="1">M131/G131</f>
        <v>1.1121590233545648</v>
      </c>
      <c r="U131" s="3">
        <f t="shared" ref="U131:U151" si="24">N131/E131</f>
        <v>0.66666666666666663</v>
      </c>
      <c r="V131" s="1">
        <f t="shared" ref="V131:V151" ca="1" si="25">O131/D131</f>
        <v>-52.826900000000002</v>
      </c>
      <c r="W131" t="str">
        <f t="shared" ref="W131:W151" ca="1" si="26">IF(T131&gt;=0.9,"Good",IF(T131&gt;=0.7,"Needs Monitoring","Poor"))</f>
        <v>Good</v>
      </c>
      <c r="X131" t="s">
        <v>453</v>
      </c>
    </row>
    <row r="132" spans="1:24" x14ac:dyDescent="0.25">
      <c r="A132" s="2">
        <v>45729</v>
      </c>
      <c r="B132">
        <f t="shared" ca="1" si="18"/>
        <v>450</v>
      </c>
      <c r="C132" s="1">
        <v>6000000</v>
      </c>
      <c r="D132" s="1">
        <v>9000</v>
      </c>
      <c r="E132" s="1">
        <f t="shared" si="19"/>
        <v>54000</v>
      </c>
      <c r="F132" s="1">
        <v>75000</v>
      </c>
      <c r="G132" s="1">
        <f t="shared" ca="1" si="20"/>
        <v>4050000</v>
      </c>
      <c r="H132" t="s">
        <v>425</v>
      </c>
      <c r="I132" t="s">
        <v>142</v>
      </c>
      <c r="J132" t="s">
        <v>257</v>
      </c>
      <c r="K132" t="s">
        <v>258</v>
      </c>
      <c r="L132">
        <v>1000000130</v>
      </c>
      <c r="M132" s="1">
        <v>3700133</v>
      </c>
      <c r="N132" s="1">
        <v>0</v>
      </c>
      <c r="O132" s="1">
        <f t="shared" ca="1" si="21"/>
        <v>349867</v>
      </c>
      <c r="P132" s="1">
        <f>C132-M132</f>
        <v>2299867</v>
      </c>
      <c r="Q132" t="str">
        <f t="shared" ca="1" si="22"/>
        <v>Non-compliant</v>
      </c>
      <c r="R132" t="s">
        <v>205</v>
      </c>
      <c r="S132" s="3">
        <f t="shared" si="23"/>
        <v>0.61668883333333335</v>
      </c>
      <c r="T132" s="3">
        <f ca="1">M132/G132</f>
        <v>0.91361308641975314</v>
      </c>
      <c r="U132" s="3">
        <f t="shared" si="24"/>
        <v>0</v>
      </c>
      <c r="V132" s="1">
        <f t="shared" ca="1" si="25"/>
        <v>38.874111111111112</v>
      </c>
      <c r="W132" t="str">
        <f t="shared" ca="1" si="26"/>
        <v>Good</v>
      </c>
      <c r="X132" t="s">
        <v>453</v>
      </c>
    </row>
    <row r="133" spans="1:24" x14ac:dyDescent="0.25">
      <c r="A133" s="2">
        <v>45753</v>
      </c>
      <c r="B133">
        <f t="shared" ca="1" si="18"/>
        <v>467</v>
      </c>
      <c r="C133" s="1">
        <v>6000000</v>
      </c>
      <c r="D133" s="1">
        <v>10000</v>
      </c>
      <c r="E133" s="1">
        <f t="shared" si="19"/>
        <v>60000</v>
      </c>
      <c r="F133" s="1">
        <v>75000</v>
      </c>
      <c r="G133" s="1">
        <f t="shared" ca="1" si="20"/>
        <v>4670000</v>
      </c>
      <c r="H133" t="s">
        <v>426</v>
      </c>
      <c r="I133" t="s">
        <v>14</v>
      </c>
      <c r="J133" t="s">
        <v>62</v>
      </c>
      <c r="K133" t="s">
        <v>259</v>
      </c>
      <c r="L133">
        <v>1000000131</v>
      </c>
      <c r="M133" s="1">
        <v>2233406</v>
      </c>
      <c r="N133" s="1">
        <v>10500</v>
      </c>
      <c r="O133" s="1">
        <f t="shared" ca="1" si="21"/>
        <v>2436594</v>
      </c>
      <c r="P133" s="1">
        <f>C133-M133</f>
        <v>3766594</v>
      </c>
      <c r="Q133" t="str">
        <f t="shared" ca="1" si="22"/>
        <v>Non-compliant</v>
      </c>
      <c r="R133" t="s">
        <v>205</v>
      </c>
      <c r="S133" s="3">
        <f t="shared" si="23"/>
        <v>0.37223433333333333</v>
      </c>
      <c r="T133" s="3">
        <f ca="1">M133/G133</f>
        <v>0.47824539614561029</v>
      </c>
      <c r="U133" s="3">
        <f t="shared" si="24"/>
        <v>0.17499999999999999</v>
      </c>
      <c r="V133" s="1">
        <f t="shared" ca="1" si="25"/>
        <v>243.65940000000001</v>
      </c>
      <c r="W133" t="str">
        <f t="shared" ca="1" si="26"/>
        <v>Poor</v>
      </c>
      <c r="X133" t="s">
        <v>452</v>
      </c>
    </row>
    <row r="134" spans="1:24" x14ac:dyDescent="0.25">
      <c r="A134" s="2">
        <v>45734</v>
      </c>
      <c r="B134">
        <f t="shared" ca="1" si="18"/>
        <v>406</v>
      </c>
      <c r="C134" s="1">
        <v>6000000</v>
      </c>
      <c r="D134" s="1">
        <v>10000</v>
      </c>
      <c r="E134" s="1">
        <f t="shared" si="19"/>
        <v>60000</v>
      </c>
      <c r="F134" s="1">
        <v>75000</v>
      </c>
      <c r="G134" s="1">
        <f t="shared" ca="1" si="20"/>
        <v>4060000</v>
      </c>
      <c r="H134" t="s">
        <v>427</v>
      </c>
      <c r="I134" t="s">
        <v>14</v>
      </c>
      <c r="J134" t="s">
        <v>260</v>
      </c>
      <c r="K134" t="s">
        <v>104</v>
      </c>
      <c r="L134">
        <v>1000000132</v>
      </c>
      <c r="M134" s="1">
        <v>3669118</v>
      </c>
      <c r="N134" s="1">
        <v>36000</v>
      </c>
      <c r="O134" s="1">
        <f t="shared" ca="1" si="21"/>
        <v>390882</v>
      </c>
      <c r="P134" s="1">
        <f>C134-M134</f>
        <v>2330882</v>
      </c>
      <c r="Q134" t="str">
        <f t="shared" ca="1" si="22"/>
        <v>Non-compliant</v>
      </c>
      <c r="R134" t="s">
        <v>205</v>
      </c>
      <c r="S134" s="3">
        <f t="shared" si="23"/>
        <v>0.61151966666666668</v>
      </c>
      <c r="T134" s="3">
        <f ca="1">M134/G134</f>
        <v>0.903723645320197</v>
      </c>
      <c r="U134" s="3">
        <f t="shared" si="24"/>
        <v>0.6</v>
      </c>
      <c r="V134" s="1">
        <f t="shared" ca="1" si="25"/>
        <v>39.088200000000001</v>
      </c>
      <c r="W134" t="str">
        <f t="shared" ca="1" si="26"/>
        <v>Good</v>
      </c>
      <c r="X134" t="s">
        <v>453</v>
      </c>
    </row>
    <row r="135" spans="1:24" x14ac:dyDescent="0.25">
      <c r="A135" s="2">
        <v>45805</v>
      </c>
      <c r="B135">
        <f t="shared" ca="1" si="18"/>
        <v>343</v>
      </c>
      <c r="C135" s="1">
        <v>6000000</v>
      </c>
      <c r="D135" s="1">
        <v>9000</v>
      </c>
      <c r="E135" s="1">
        <f t="shared" si="19"/>
        <v>54000</v>
      </c>
      <c r="F135" s="1">
        <v>100000</v>
      </c>
      <c r="G135" s="1">
        <f t="shared" ca="1" si="20"/>
        <v>3087000</v>
      </c>
      <c r="H135" t="s">
        <v>428</v>
      </c>
      <c r="I135" t="s">
        <v>14</v>
      </c>
      <c r="J135" t="s">
        <v>261</v>
      </c>
      <c r="K135" t="s">
        <v>262</v>
      </c>
      <c r="L135">
        <v>1000000133</v>
      </c>
      <c r="M135" s="1">
        <v>4709067</v>
      </c>
      <c r="N135" s="1">
        <v>27000</v>
      </c>
      <c r="O135" s="1">
        <f t="shared" ca="1" si="21"/>
        <v>-1622067</v>
      </c>
      <c r="P135" s="1">
        <f>C135-M135</f>
        <v>1290933</v>
      </c>
      <c r="Q135" t="str">
        <f t="shared" ca="1" si="22"/>
        <v>Compliant</v>
      </c>
      <c r="R135" t="s">
        <v>205</v>
      </c>
      <c r="S135" s="3">
        <f t="shared" si="23"/>
        <v>0.78484449999999994</v>
      </c>
      <c r="T135" s="3">
        <f ca="1">M135/G135</f>
        <v>1.5254509232264335</v>
      </c>
      <c r="U135" s="3">
        <f t="shared" si="24"/>
        <v>0.5</v>
      </c>
      <c r="V135" s="1">
        <f t="shared" ca="1" si="25"/>
        <v>-180.22966666666667</v>
      </c>
      <c r="W135" t="str">
        <f t="shared" ca="1" si="26"/>
        <v>Good</v>
      </c>
      <c r="X135" t="s">
        <v>452</v>
      </c>
    </row>
    <row r="136" spans="1:24" x14ac:dyDescent="0.25">
      <c r="A136" s="2">
        <v>45878</v>
      </c>
      <c r="B136">
        <f t="shared" ca="1" si="18"/>
        <v>413</v>
      </c>
      <c r="C136" s="1">
        <v>6000000</v>
      </c>
      <c r="D136" s="1">
        <v>9000</v>
      </c>
      <c r="E136" s="1">
        <f t="shared" si="19"/>
        <v>54000</v>
      </c>
      <c r="F136" s="1">
        <v>50000</v>
      </c>
      <c r="G136" s="1">
        <f t="shared" ca="1" si="20"/>
        <v>3717000</v>
      </c>
      <c r="H136" t="s">
        <v>429</v>
      </c>
      <c r="I136" t="s">
        <v>14</v>
      </c>
      <c r="J136" t="s">
        <v>263</v>
      </c>
      <c r="K136" t="s">
        <v>264</v>
      </c>
      <c r="L136">
        <v>1000000134</v>
      </c>
      <c r="M136" s="1">
        <v>2938852</v>
      </c>
      <c r="N136" s="1">
        <v>22500</v>
      </c>
      <c r="O136" s="1">
        <f t="shared" ca="1" si="21"/>
        <v>778148</v>
      </c>
      <c r="P136" s="1">
        <f>C136-M136</f>
        <v>3061148</v>
      </c>
      <c r="Q136" t="str">
        <f t="shared" ca="1" si="22"/>
        <v>Non-compliant</v>
      </c>
      <c r="R136" t="s">
        <v>205</v>
      </c>
      <c r="S136" s="3">
        <f t="shared" si="23"/>
        <v>0.48980866666666667</v>
      </c>
      <c r="T136" s="3">
        <f ca="1">M136/G136</f>
        <v>0.79065160075329566</v>
      </c>
      <c r="U136" s="3">
        <f t="shared" si="24"/>
        <v>0.41666666666666669</v>
      </c>
      <c r="V136" s="1">
        <f t="shared" ca="1" si="25"/>
        <v>86.460888888888888</v>
      </c>
      <c r="W136" t="str">
        <f t="shared" ca="1" si="26"/>
        <v>Needs Monitoring</v>
      </c>
      <c r="X136" t="s">
        <v>453</v>
      </c>
    </row>
    <row r="137" spans="1:24" x14ac:dyDescent="0.25">
      <c r="A137" s="2">
        <v>45797</v>
      </c>
      <c r="B137">
        <f t="shared" ca="1" si="18"/>
        <v>338</v>
      </c>
      <c r="C137" s="1">
        <v>6000000</v>
      </c>
      <c r="D137" s="1">
        <v>10000</v>
      </c>
      <c r="E137" s="1">
        <f t="shared" si="19"/>
        <v>60000</v>
      </c>
      <c r="F137" s="1">
        <v>100000</v>
      </c>
      <c r="G137" s="1">
        <f t="shared" ca="1" si="20"/>
        <v>3380000</v>
      </c>
      <c r="H137" t="s">
        <v>430</v>
      </c>
      <c r="I137" t="s">
        <v>142</v>
      </c>
      <c r="J137" t="s">
        <v>265</v>
      </c>
      <c r="K137" t="s">
        <v>266</v>
      </c>
      <c r="L137">
        <v>1000000135</v>
      </c>
      <c r="M137" s="1">
        <v>5192535</v>
      </c>
      <c r="N137" s="1">
        <v>0</v>
      </c>
      <c r="O137" s="1">
        <f t="shared" ca="1" si="21"/>
        <v>-1812535</v>
      </c>
      <c r="P137" s="1">
        <f>C137-M137</f>
        <v>807465</v>
      </c>
      <c r="Q137" t="str">
        <f t="shared" ca="1" si="22"/>
        <v>Compliant</v>
      </c>
      <c r="R137" t="s">
        <v>205</v>
      </c>
      <c r="S137" s="3">
        <f t="shared" si="23"/>
        <v>0.86542249999999998</v>
      </c>
      <c r="T137" s="3">
        <f ca="1">M137/G137</f>
        <v>1.5362529585798816</v>
      </c>
      <c r="U137" s="3">
        <f t="shared" si="24"/>
        <v>0</v>
      </c>
      <c r="V137" s="1">
        <f t="shared" ca="1" si="25"/>
        <v>-181.2535</v>
      </c>
      <c r="W137" t="str">
        <f t="shared" ca="1" si="26"/>
        <v>Good</v>
      </c>
      <c r="X137" t="s">
        <v>452</v>
      </c>
    </row>
    <row r="138" spans="1:24" x14ac:dyDescent="0.25">
      <c r="A138" s="2">
        <v>45884</v>
      </c>
      <c r="B138">
        <f t="shared" ca="1" si="18"/>
        <v>368</v>
      </c>
      <c r="C138" s="1">
        <v>6000000</v>
      </c>
      <c r="D138" s="1">
        <v>10000</v>
      </c>
      <c r="E138" s="1">
        <f t="shared" si="19"/>
        <v>60000</v>
      </c>
      <c r="F138" s="1">
        <v>75000</v>
      </c>
      <c r="G138" s="1">
        <f t="shared" ca="1" si="20"/>
        <v>3680000</v>
      </c>
      <c r="H138" t="s">
        <v>431</v>
      </c>
      <c r="I138" t="s">
        <v>14</v>
      </c>
      <c r="J138" t="s">
        <v>267</v>
      </c>
      <c r="K138" t="s">
        <v>124</v>
      </c>
      <c r="L138">
        <v>1000000136</v>
      </c>
      <c r="M138" s="1">
        <v>4098372</v>
      </c>
      <c r="N138" s="1">
        <v>31500</v>
      </c>
      <c r="O138" s="1">
        <f t="shared" ca="1" si="21"/>
        <v>-418372</v>
      </c>
      <c r="P138" s="1">
        <f>C138-M138</f>
        <v>1901628</v>
      </c>
      <c r="Q138" t="str">
        <f t="shared" ca="1" si="22"/>
        <v>Compliant</v>
      </c>
      <c r="R138" t="s">
        <v>205</v>
      </c>
      <c r="S138" s="3">
        <f t="shared" si="23"/>
        <v>0.68306199999999995</v>
      </c>
      <c r="T138" s="3">
        <f ca="1">M138/G138</f>
        <v>1.1136880434782608</v>
      </c>
      <c r="U138" s="3">
        <f t="shared" si="24"/>
        <v>0.52500000000000002</v>
      </c>
      <c r="V138" s="1">
        <f t="shared" ca="1" si="25"/>
        <v>-41.837200000000003</v>
      </c>
      <c r="W138" t="str">
        <f t="shared" ca="1" si="26"/>
        <v>Good</v>
      </c>
      <c r="X138" t="s">
        <v>452</v>
      </c>
    </row>
    <row r="139" spans="1:24" x14ac:dyDescent="0.25">
      <c r="A139" s="2">
        <v>45849</v>
      </c>
      <c r="B139">
        <f t="shared" ca="1" si="18"/>
        <v>384</v>
      </c>
      <c r="C139" s="1">
        <v>6000000</v>
      </c>
      <c r="D139" s="1">
        <v>10000</v>
      </c>
      <c r="E139" s="1">
        <f t="shared" si="19"/>
        <v>60000</v>
      </c>
      <c r="F139" s="1">
        <v>50000</v>
      </c>
      <c r="G139" s="1">
        <f t="shared" ca="1" si="20"/>
        <v>3840000</v>
      </c>
      <c r="H139" t="s">
        <v>432</v>
      </c>
      <c r="I139" t="s">
        <v>14</v>
      </c>
      <c r="J139" t="s">
        <v>268</v>
      </c>
      <c r="K139" t="s">
        <v>269</v>
      </c>
      <c r="L139">
        <v>1000000137</v>
      </c>
      <c r="M139" s="1">
        <v>3178280</v>
      </c>
      <c r="N139" s="1">
        <v>47000</v>
      </c>
      <c r="O139" s="1">
        <f t="shared" ca="1" si="21"/>
        <v>661720</v>
      </c>
      <c r="P139" s="1">
        <f>C139-M139</f>
        <v>2821720</v>
      </c>
      <c r="Q139" t="str">
        <f t="shared" ca="1" si="22"/>
        <v>Non-compliant</v>
      </c>
      <c r="R139" t="s">
        <v>205</v>
      </c>
      <c r="S139" s="3">
        <f t="shared" si="23"/>
        <v>0.52971333333333337</v>
      </c>
      <c r="T139" s="3">
        <f ca="1">M139/G139</f>
        <v>0.82767708333333334</v>
      </c>
      <c r="U139" s="3">
        <f t="shared" si="24"/>
        <v>0.78333333333333333</v>
      </c>
      <c r="V139" s="1">
        <f t="shared" ca="1" si="25"/>
        <v>66.171999999999997</v>
      </c>
      <c r="W139" t="str">
        <f t="shared" ca="1" si="26"/>
        <v>Needs Monitoring</v>
      </c>
      <c r="X139" t="s">
        <v>453</v>
      </c>
    </row>
    <row r="140" spans="1:24" x14ac:dyDescent="0.25">
      <c r="A140" s="2">
        <v>45831</v>
      </c>
      <c r="B140">
        <f t="shared" ca="1" si="18"/>
        <v>342</v>
      </c>
      <c r="C140" s="1">
        <v>6000000</v>
      </c>
      <c r="D140" s="1">
        <v>11000</v>
      </c>
      <c r="E140" s="1">
        <f t="shared" si="19"/>
        <v>66000</v>
      </c>
      <c r="F140" s="1">
        <v>50000</v>
      </c>
      <c r="G140" s="1">
        <f t="shared" ca="1" si="20"/>
        <v>3762000</v>
      </c>
      <c r="H140" t="s">
        <v>433</v>
      </c>
      <c r="I140" t="s">
        <v>14</v>
      </c>
      <c r="J140" t="s">
        <v>270</v>
      </c>
      <c r="K140" t="s">
        <v>271</v>
      </c>
      <c r="L140">
        <v>1000000138</v>
      </c>
      <c r="M140" s="1">
        <v>4454002</v>
      </c>
      <c r="N140" s="1">
        <v>57000</v>
      </c>
      <c r="O140" s="1">
        <f t="shared" ca="1" si="21"/>
        <v>-692002</v>
      </c>
      <c r="P140" s="1">
        <f>C140-M140</f>
        <v>1545998</v>
      </c>
      <c r="Q140" t="str">
        <f t="shared" ca="1" si="22"/>
        <v>Compliant</v>
      </c>
      <c r="R140" t="s">
        <v>205</v>
      </c>
      <c r="S140" s="3">
        <f t="shared" si="23"/>
        <v>0.74233366666666667</v>
      </c>
      <c r="T140" s="3">
        <f ca="1">M140/G140</f>
        <v>1.1839452418926104</v>
      </c>
      <c r="U140" s="3">
        <f t="shared" si="24"/>
        <v>0.86363636363636365</v>
      </c>
      <c r="V140" s="1">
        <f t="shared" ca="1" si="25"/>
        <v>-62.909272727272729</v>
      </c>
      <c r="W140" t="str">
        <f t="shared" ca="1" si="26"/>
        <v>Good</v>
      </c>
      <c r="X140" t="s">
        <v>452</v>
      </c>
    </row>
    <row r="141" spans="1:24" x14ac:dyDescent="0.25">
      <c r="A141" s="2">
        <v>45880</v>
      </c>
      <c r="B141">
        <f t="shared" ca="1" si="18"/>
        <v>467</v>
      </c>
      <c r="C141" s="1">
        <v>6000000</v>
      </c>
      <c r="D141" s="1">
        <v>11000</v>
      </c>
      <c r="E141" s="1">
        <f t="shared" si="19"/>
        <v>66000</v>
      </c>
      <c r="F141" s="1">
        <v>75000</v>
      </c>
      <c r="G141" s="1">
        <f t="shared" ca="1" si="20"/>
        <v>5137000</v>
      </c>
      <c r="H141" t="s">
        <v>434</v>
      </c>
      <c r="I141" t="s">
        <v>14</v>
      </c>
      <c r="J141" t="s">
        <v>272</v>
      </c>
      <c r="K141" t="s">
        <v>273</v>
      </c>
      <c r="L141">
        <v>1000000139</v>
      </c>
      <c r="M141" s="1">
        <v>3885635</v>
      </c>
      <c r="N141" s="1">
        <v>66000</v>
      </c>
      <c r="O141" s="1">
        <f t="shared" ca="1" si="21"/>
        <v>1251365</v>
      </c>
      <c r="P141" s="1">
        <f>C141-M141</f>
        <v>2114365</v>
      </c>
      <c r="Q141" t="str">
        <f t="shared" ca="1" si="22"/>
        <v>Non-compliant</v>
      </c>
      <c r="R141" t="s">
        <v>205</v>
      </c>
      <c r="S141" s="3">
        <f t="shared" si="23"/>
        <v>0.64760583333333333</v>
      </c>
      <c r="T141" s="3">
        <f ca="1">M141/G141</f>
        <v>0.75640159626240999</v>
      </c>
      <c r="U141" s="3">
        <f t="shared" si="24"/>
        <v>1</v>
      </c>
      <c r="V141" s="1">
        <f t="shared" ca="1" si="25"/>
        <v>113.76045454545455</v>
      </c>
      <c r="W141" t="str">
        <f t="shared" ca="1" si="26"/>
        <v>Needs Monitoring</v>
      </c>
      <c r="X141" t="s">
        <v>453</v>
      </c>
    </row>
    <row r="142" spans="1:24" x14ac:dyDescent="0.25">
      <c r="A142" s="2">
        <v>45734</v>
      </c>
      <c r="B142">
        <f t="shared" ca="1" si="18"/>
        <v>465</v>
      </c>
      <c r="C142" s="1">
        <v>6000000</v>
      </c>
      <c r="D142" s="1">
        <v>9000</v>
      </c>
      <c r="E142" s="1">
        <f t="shared" si="19"/>
        <v>54000</v>
      </c>
      <c r="F142" s="1">
        <v>100000</v>
      </c>
      <c r="G142" s="1">
        <f t="shared" ca="1" si="20"/>
        <v>4185000</v>
      </c>
      <c r="H142" t="s">
        <v>435</v>
      </c>
      <c r="I142" t="s">
        <v>14</v>
      </c>
      <c r="J142" t="s">
        <v>274</v>
      </c>
      <c r="K142" t="s">
        <v>253</v>
      </c>
      <c r="L142">
        <v>1000000140</v>
      </c>
      <c r="M142" s="1">
        <v>4378226</v>
      </c>
      <c r="N142" s="1">
        <v>42500</v>
      </c>
      <c r="O142" s="1">
        <f t="shared" ca="1" si="21"/>
        <v>-193226</v>
      </c>
      <c r="P142" s="1">
        <f>C142-M142</f>
        <v>1621774</v>
      </c>
      <c r="Q142" t="str">
        <f t="shared" ca="1" si="22"/>
        <v>Compliant</v>
      </c>
      <c r="R142" t="s">
        <v>205</v>
      </c>
      <c r="S142" s="3">
        <f t="shared" si="23"/>
        <v>0.72970433333333329</v>
      </c>
      <c r="T142" s="3">
        <f ca="1">M142/G142</f>
        <v>1.0461710872162484</v>
      </c>
      <c r="U142" s="3">
        <f t="shared" si="24"/>
        <v>0.78703703703703709</v>
      </c>
      <c r="V142" s="1">
        <f t="shared" ca="1" si="25"/>
        <v>-21.469555555555555</v>
      </c>
      <c r="W142" t="str">
        <f t="shared" ca="1" si="26"/>
        <v>Good</v>
      </c>
      <c r="X142" t="s">
        <v>452</v>
      </c>
    </row>
    <row r="143" spans="1:24" x14ac:dyDescent="0.25">
      <c r="A143" s="2">
        <v>45736</v>
      </c>
      <c r="B143">
        <f t="shared" ca="1" si="18"/>
        <v>359</v>
      </c>
      <c r="C143" s="1">
        <v>6000000</v>
      </c>
      <c r="D143" s="1">
        <v>9000</v>
      </c>
      <c r="E143" s="1">
        <f t="shared" si="19"/>
        <v>54000</v>
      </c>
      <c r="F143" s="1">
        <v>100000</v>
      </c>
      <c r="G143" s="1">
        <f t="shared" ca="1" si="20"/>
        <v>3231000</v>
      </c>
      <c r="H143" t="s">
        <v>436</v>
      </c>
      <c r="I143" t="s">
        <v>142</v>
      </c>
      <c r="J143" t="s">
        <v>275</v>
      </c>
      <c r="K143" t="s">
        <v>276</v>
      </c>
      <c r="L143">
        <v>1000000141</v>
      </c>
      <c r="M143" s="1">
        <v>5365844</v>
      </c>
      <c r="N143" s="1">
        <v>0</v>
      </c>
      <c r="O143" s="1">
        <f t="shared" ca="1" si="21"/>
        <v>-2134844</v>
      </c>
      <c r="P143" s="1">
        <f>C143-M143</f>
        <v>634156</v>
      </c>
      <c r="Q143" t="str">
        <f t="shared" ca="1" si="22"/>
        <v>Compliant</v>
      </c>
      <c r="R143" t="s">
        <v>205</v>
      </c>
      <c r="S143" s="3">
        <f t="shared" si="23"/>
        <v>0.89430733333333334</v>
      </c>
      <c r="T143" s="3">
        <f ca="1">M143/G143</f>
        <v>1.6607378520581864</v>
      </c>
      <c r="U143" s="3">
        <f t="shared" si="24"/>
        <v>0</v>
      </c>
      <c r="V143" s="1">
        <f t="shared" ca="1" si="25"/>
        <v>-237.20488888888889</v>
      </c>
      <c r="W143" t="str">
        <f t="shared" ca="1" si="26"/>
        <v>Good</v>
      </c>
      <c r="X143" t="s">
        <v>453</v>
      </c>
    </row>
    <row r="144" spans="1:24" x14ac:dyDescent="0.25">
      <c r="A144" s="2">
        <v>45860</v>
      </c>
      <c r="B144">
        <f t="shared" ca="1" si="18"/>
        <v>466</v>
      </c>
      <c r="C144" s="1">
        <v>6000000</v>
      </c>
      <c r="D144" s="1">
        <v>10000</v>
      </c>
      <c r="E144" s="1">
        <f t="shared" si="19"/>
        <v>60000</v>
      </c>
      <c r="F144" s="1">
        <v>75000</v>
      </c>
      <c r="G144" s="1">
        <f t="shared" ca="1" si="20"/>
        <v>4660000</v>
      </c>
      <c r="H144" t="s">
        <v>437</v>
      </c>
      <c r="I144" t="s">
        <v>14</v>
      </c>
      <c r="J144" t="s">
        <v>277</v>
      </c>
      <c r="K144" t="s">
        <v>278</v>
      </c>
      <c r="L144">
        <v>1000000142</v>
      </c>
      <c r="M144" s="1">
        <v>3836399</v>
      </c>
      <c r="N144" s="1">
        <v>40000</v>
      </c>
      <c r="O144" s="1">
        <f t="shared" ca="1" si="21"/>
        <v>823601</v>
      </c>
      <c r="P144" s="1">
        <f>C144-M144</f>
        <v>2163601</v>
      </c>
      <c r="Q144" t="str">
        <f t="shared" ca="1" si="22"/>
        <v>Non-compliant</v>
      </c>
      <c r="R144" t="s">
        <v>205</v>
      </c>
      <c r="S144" s="3">
        <f t="shared" si="23"/>
        <v>0.63939983333333328</v>
      </c>
      <c r="T144" s="3">
        <f ca="1">M144/G144</f>
        <v>0.82326158798283267</v>
      </c>
      <c r="U144" s="3">
        <f t="shared" si="24"/>
        <v>0.66666666666666663</v>
      </c>
      <c r="V144" s="1">
        <f t="shared" ca="1" si="25"/>
        <v>82.360100000000003</v>
      </c>
      <c r="W144" t="str">
        <f t="shared" ca="1" si="26"/>
        <v>Needs Monitoring</v>
      </c>
      <c r="X144" t="s">
        <v>452</v>
      </c>
    </row>
    <row r="145" spans="1:24" x14ac:dyDescent="0.25">
      <c r="A145" s="2">
        <v>45735</v>
      </c>
      <c r="B145">
        <f t="shared" ca="1" si="18"/>
        <v>447</v>
      </c>
      <c r="C145" s="1">
        <v>6000000</v>
      </c>
      <c r="D145" s="1">
        <v>11000</v>
      </c>
      <c r="E145" s="1">
        <f t="shared" si="19"/>
        <v>66000</v>
      </c>
      <c r="F145" s="1">
        <v>50000</v>
      </c>
      <c r="G145" s="1">
        <f t="shared" ca="1" si="20"/>
        <v>4917000</v>
      </c>
      <c r="H145" t="s">
        <v>438</v>
      </c>
      <c r="I145" t="s">
        <v>14</v>
      </c>
      <c r="J145" t="s">
        <v>279</v>
      </c>
      <c r="K145" t="s">
        <v>280</v>
      </c>
      <c r="L145">
        <v>1000000143</v>
      </c>
      <c r="M145" s="1">
        <v>5119868</v>
      </c>
      <c r="N145" s="1">
        <v>60000</v>
      </c>
      <c r="O145" s="1">
        <f t="shared" ca="1" si="21"/>
        <v>-202868</v>
      </c>
      <c r="P145" s="1">
        <f>C145-M145</f>
        <v>880132</v>
      </c>
      <c r="Q145" t="str">
        <f t="shared" ca="1" si="22"/>
        <v>Compliant</v>
      </c>
      <c r="R145" t="s">
        <v>205</v>
      </c>
      <c r="S145" s="3">
        <f t="shared" si="23"/>
        <v>0.85331133333333331</v>
      </c>
      <c r="T145" s="3">
        <f ca="1">M145/G145</f>
        <v>1.0412584909497662</v>
      </c>
      <c r="U145" s="3">
        <f t="shared" si="24"/>
        <v>0.90909090909090906</v>
      </c>
      <c r="V145" s="1">
        <f t="shared" ca="1" si="25"/>
        <v>-18.442545454545453</v>
      </c>
      <c r="W145" t="str">
        <f t="shared" ca="1" si="26"/>
        <v>Good</v>
      </c>
      <c r="X145" t="s">
        <v>452</v>
      </c>
    </row>
    <row r="146" spans="1:24" x14ac:dyDescent="0.25">
      <c r="A146" s="2">
        <v>45757</v>
      </c>
      <c r="B146">
        <f t="shared" ca="1" si="18"/>
        <v>379</v>
      </c>
      <c r="C146" s="1">
        <v>6000000</v>
      </c>
      <c r="D146" s="1">
        <v>9000</v>
      </c>
      <c r="E146" s="1">
        <f t="shared" si="19"/>
        <v>54000</v>
      </c>
      <c r="F146" s="1">
        <v>75000</v>
      </c>
      <c r="G146" s="1">
        <f t="shared" ca="1" si="20"/>
        <v>3411000</v>
      </c>
      <c r="H146" t="s">
        <v>439</v>
      </c>
      <c r="I146" t="s">
        <v>14</v>
      </c>
      <c r="J146" t="s">
        <v>281</v>
      </c>
      <c r="K146" t="s">
        <v>184</v>
      </c>
      <c r="L146">
        <v>1000000144</v>
      </c>
      <c r="M146" s="1">
        <v>4302505</v>
      </c>
      <c r="N146" s="1">
        <v>55000</v>
      </c>
      <c r="O146" s="1">
        <f t="shared" ca="1" si="21"/>
        <v>-891505</v>
      </c>
      <c r="P146" s="1">
        <f>C146-M146</f>
        <v>1697495</v>
      </c>
      <c r="Q146" t="str">
        <f t="shared" ca="1" si="22"/>
        <v>Compliant</v>
      </c>
      <c r="R146" t="s">
        <v>205</v>
      </c>
      <c r="S146" s="3">
        <f t="shared" si="23"/>
        <v>0.71708416666666663</v>
      </c>
      <c r="T146" s="3">
        <f ca="1">M146/G146</f>
        <v>1.261361770741718</v>
      </c>
      <c r="U146" s="3">
        <f t="shared" si="24"/>
        <v>1.0185185185185186</v>
      </c>
      <c r="V146" s="1">
        <f t="shared" ca="1" si="25"/>
        <v>-99.056111111111107</v>
      </c>
      <c r="W146" t="str">
        <f t="shared" ca="1" si="26"/>
        <v>Good</v>
      </c>
      <c r="X146" t="s">
        <v>453</v>
      </c>
    </row>
    <row r="147" spans="1:24" x14ac:dyDescent="0.25">
      <c r="A147" s="2">
        <v>45836</v>
      </c>
      <c r="B147">
        <f t="shared" ca="1" si="18"/>
        <v>412</v>
      </c>
      <c r="C147" s="1">
        <v>6000000</v>
      </c>
      <c r="D147" s="1">
        <v>9000</v>
      </c>
      <c r="E147" s="1">
        <f t="shared" si="19"/>
        <v>54000</v>
      </c>
      <c r="F147" s="1">
        <v>100000</v>
      </c>
      <c r="G147" s="1">
        <f t="shared" ca="1" si="20"/>
        <v>3708000</v>
      </c>
      <c r="H147" t="s">
        <v>440</v>
      </c>
      <c r="I147" t="s">
        <v>14</v>
      </c>
      <c r="J147" t="s">
        <v>282</v>
      </c>
      <c r="K147" t="s">
        <v>283</v>
      </c>
      <c r="L147">
        <v>1000000145</v>
      </c>
      <c r="M147" s="1">
        <v>3377074</v>
      </c>
      <c r="N147" s="1">
        <v>22000</v>
      </c>
      <c r="O147" s="1">
        <f t="shared" ca="1" si="21"/>
        <v>330926</v>
      </c>
      <c r="P147" s="1">
        <f>C147-M147</f>
        <v>2622926</v>
      </c>
      <c r="Q147" t="str">
        <f t="shared" ca="1" si="22"/>
        <v>Non-compliant</v>
      </c>
      <c r="R147" t="s">
        <v>205</v>
      </c>
      <c r="S147" s="3">
        <f t="shared" si="23"/>
        <v>0.56284566666666669</v>
      </c>
      <c r="T147" s="3">
        <f ca="1">M147/G147</f>
        <v>0.91075350593311755</v>
      </c>
      <c r="U147" s="3">
        <f t="shared" si="24"/>
        <v>0.40740740740740738</v>
      </c>
      <c r="V147" s="1">
        <f t="shared" ca="1" si="25"/>
        <v>36.769555555555556</v>
      </c>
      <c r="W147" t="str">
        <f t="shared" ca="1" si="26"/>
        <v>Good</v>
      </c>
      <c r="X147" t="s">
        <v>453</v>
      </c>
    </row>
    <row r="148" spans="1:24" x14ac:dyDescent="0.25">
      <c r="A148" s="2">
        <v>45798</v>
      </c>
      <c r="B148">
        <f t="shared" ca="1" si="18"/>
        <v>372</v>
      </c>
      <c r="C148" s="1">
        <v>6000000</v>
      </c>
      <c r="D148" s="1">
        <v>10000</v>
      </c>
      <c r="E148" s="1">
        <f t="shared" si="19"/>
        <v>60000</v>
      </c>
      <c r="F148" s="1">
        <v>75000</v>
      </c>
      <c r="G148" s="1">
        <f t="shared" ca="1" si="20"/>
        <v>3720000</v>
      </c>
      <c r="H148" t="s">
        <v>441</v>
      </c>
      <c r="I148" t="s">
        <v>14</v>
      </c>
      <c r="J148" t="s">
        <v>284</v>
      </c>
      <c r="K148" t="s">
        <v>285</v>
      </c>
      <c r="L148">
        <v>1000000146</v>
      </c>
      <c r="M148" s="1">
        <v>3055977</v>
      </c>
      <c r="N148" s="1">
        <v>41500</v>
      </c>
      <c r="O148" s="1">
        <f t="shared" ca="1" si="21"/>
        <v>664023</v>
      </c>
      <c r="P148" s="1">
        <f>C148-M148</f>
        <v>2944023</v>
      </c>
      <c r="Q148" t="str">
        <f t="shared" ca="1" si="22"/>
        <v>Non-compliant</v>
      </c>
      <c r="R148" t="s">
        <v>205</v>
      </c>
      <c r="S148" s="3">
        <f t="shared" si="23"/>
        <v>0.50932949999999999</v>
      </c>
      <c r="T148" s="3">
        <f ca="1">M148/G148</f>
        <v>0.82149919354838707</v>
      </c>
      <c r="U148" s="3">
        <f t="shared" si="24"/>
        <v>0.69166666666666665</v>
      </c>
      <c r="V148" s="1">
        <f t="shared" ca="1" si="25"/>
        <v>66.402299999999997</v>
      </c>
      <c r="W148" t="str">
        <f t="shared" ca="1" si="26"/>
        <v>Needs Monitoring</v>
      </c>
      <c r="X148" t="s">
        <v>452</v>
      </c>
    </row>
    <row r="149" spans="1:24" x14ac:dyDescent="0.25">
      <c r="A149" s="2">
        <v>45845</v>
      </c>
      <c r="B149">
        <f t="shared" ca="1" si="18"/>
        <v>438</v>
      </c>
      <c r="C149" s="1">
        <v>6000000</v>
      </c>
      <c r="D149" s="1">
        <v>10000</v>
      </c>
      <c r="E149" s="1">
        <f t="shared" si="19"/>
        <v>60000</v>
      </c>
      <c r="F149" s="1">
        <v>50000</v>
      </c>
      <c r="G149" s="1">
        <f t="shared" ca="1" si="20"/>
        <v>4380000</v>
      </c>
      <c r="H149" t="s">
        <v>442</v>
      </c>
      <c r="I149" t="s">
        <v>14</v>
      </c>
      <c r="J149" t="s">
        <v>286</v>
      </c>
      <c r="K149" t="s">
        <v>65</v>
      </c>
      <c r="L149">
        <v>1000000147</v>
      </c>
      <c r="M149" s="1">
        <v>3214018</v>
      </c>
      <c r="N149" s="1">
        <v>49000</v>
      </c>
      <c r="O149" s="1">
        <f t="shared" ca="1" si="21"/>
        <v>1165982</v>
      </c>
      <c r="P149" s="1">
        <f>C149-M149</f>
        <v>2785982</v>
      </c>
      <c r="Q149" t="str">
        <f t="shared" ca="1" si="22"/>
        <v>Non-compliant</v>
      </c>
      <c r="R149" t="s">
        <v>205</v>
      </c>
      <c r="S149" s="3">
        <f t="shared" si="23"/>
        <v>0.53566966666666671</v>
      </c>
      <c r="T149" s="3">
        <f ca="1">M149/G149</f>
        <v>0.73379406392694069</v>
      </c>
      <c r="U149" s="3">
        <f t="shared" si="24"/>
        <v>0.81666666666666665</v>
      </c>
      <c r="V149" s="1">
        <f t="shared" ca="1" si="25"/>
        <v>116.59820000000001</v>
      </c>
      <c r="W149" t="str">
        <f t="shared" ca="1" si="26"/>
        <v>Needs Monitoring</v>
      </c>
      <c r="X149" t="s">
        <v>452</v>
      </c>
    </row>
    <row r="150" spans="1:24" x14ac:dyDescent="0.25">
      <c r="A150" s="2">
        <v>45767</v>
      </c>
      <c r="B150">
        <f t="shared" ca="1" si="18"/>
        <v>438</v>
      </c>
      <c r="C150" s="1">
        <v>6000000</v>
      </c>
      <c r="D150" s="1">
        <v>10000</v>
      </c>
      <c r="E150" s="1">
        <f t="shared" si="19"/>
        <v>60000</v>
      </c>
      <c r="F150" s="1">
        <v>50000</v>
      </c>
      <c r="G150" s="1">
        <f t="shared" ca="1" si="20"/>
        <v>4380000</v>
      </c>
      <c r="H150" t="s">
        <v>443</v>
      </c>
      <c r="I150" t="s">
        <v>142</v>
      </c>
      <c r="J150" t="s">
        <v>287</v>
      </c>
      <c r="K150" t="s">
        <v>288</v>
      </c>
      <c r="L150">
        <v>1000000148</v>
      </c>
      <c r="M150" s="1">
        <v>5130314</v>
      </c>
      <c r="N150" s="1">
        <v>0</v>
      </c>
      <c r="O150" s="1">
        <f t="shared" ca="1" si="21"/>
        <v>-750314</v>
      </c>
      <c r="P150" s="1">
        <f>C150-M150</f>
        <v>869686</v>
      </c>
      <c r="Q150" t="str">
        <f t="shared" ca="1" si="22"/>
        <v>Compliant</v>
      </c>
      <c r="R150" t="s">
        <v>205</v>
      </c>
      <c r="S150" s="3">
        <f t="shared" si="23"/>
        <v>0.8550523333333333</v>
      </c>
      <c r="T150" s="3">
        <f ca="1">M150/G150</f>
        <v>1.1713045662100456</v>
      </c>
      <c r="U150" s="3">
        <f t="shared" si="24"/>
        <v>0</v>
      </c>
      <c r="V150" s="1">
        <f t="shared" ca="1" si="25"/>
        <v>-75.031400000000005</v>
      </c>
      <c r="W150" t="str">
        <f t="shared" ca="1" si="26"/>
        <v>Good</v>
      </c>
      <c r="X150" t="s">
        <v>453</v>
      </c>
    </row>
    <row r="151" spans="1:24" x14ac:dyDescent="0.25">
      <c r="A151" s="2">
        <v>45767</v>
      </c>
      <c r="B151">
        <v>438</v>
      </c>
      <c r="C151" s="1">
        <v>6000000</v>
      </c>
      <c r="D151" s="1">
        <v>10000</v>
      </c>
      <c r="E151" s="1">
        <f t="shared" si="19"/>
        <v>60000</v>
      </c>
      <c r="F151" s="1">
        <v>100000</v>
      </c>
      <c r="G151" s="1">
        <f t="shared" si="20"/>
        <v>4380000</v>
      </c>
      <c r="H151" t="s">
        <v>444</v>
      </c>
      <c r="I151" t="s">
        <v>14</v>
      </c>
      <c r="J151" t="s">
        <v>289</v>
      </c>
      <c r="K151" t="s">
        <v>290</v>
      </c>
      <c r="L151">
        <v>1000000149</v>
      </c>
      <c r="M151" s="1">
        <v>3895698</v>
      </c>
      <c r="N151" s="1">
        <v>31500</v>
      </c>
      <c r="O151" s="1">
        <f t="shared" si="21"/>
        <v>484302</v>
      </c>
      <c r="P151" s="1">
        <f>C151-M151</f>
        <v>2104302</v>
      </c>
      <c r="Q151" t="str">
        <f t="shared" si="22"/>
        <v>Non-compliant</v>
      </c>
      <c r="R151" t="s">
        <v>205</v>
      </c>
      <c r="S151" s="3">
        <f t="shared" si="23"/>
        <v>0.64928300000000005</v>
      </c>
      <c r="T151" s="3">
        <f>M151/G151</f>
        <v>0.88942876712328767</v>
      </c>
      <c r="U151" s="3">
        <f t="shared" si="24"/>
        <v>0.52500000000000002</v>
      </c>
      <c r="V151" s="1">
        <f t="shared" si="25"/>
        <v>48.430199999999999</v>
      </c>
      <c r="W151" t="str">
        <f t="shared" si="26"/>
        <v>Needs Monitoring</v>
      </c>
      <c r="X151" t="s">
        <v>452</v>
      </c>
    </row>
  </sheetData>
  <autoFilter ref="A1:X167" xr:uid="{1267B2FB-9FED-4525-8AA5-D5BB04F8947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7FC1-7E7C-4849-98C5-D0BA4281A23A}">
  <dimension ref="A1:K19"/>
  <sheetViews>
    <sheetView workbookViewId="0">
      <selection activeCell="D7" sqref="D7"/>
    </sheetView>
  </sheetViews>
  <sheetFormatPr defaultRowHeight="15" x14ac:dyDescent="0.25"/>
  <cols>
    <col min="1" max="1" width="20.7109375" bestFit="1" customWidth="1"/>
    <col min="2" max="2" width="11.140625" style="1" bestFit="1" customWidth="1"/>
    <col min="4" max="4" width="20.7109375" bestFit="1" customWidth="1"/>
    <col min="5" max="5" width="11.140625" bestFit="1" customWidth="1"/>
    <col min="7" max="7" width="20.7109375" bestFit="1" customWidth="1"/>
    <col min="8" max="8" width="11.140625" bestFit="1" customWidth="1"/>
    <col min="11" max="11" width="11.140625" bestFit="1" customWidth="1"/>
  </cols>
  <sheetData>
    <row r="1" spans="1:11" x14ac:dyDescent="0.25">
      <c r="A1" t="s">
        <v>461</v>
      </c>
      <c r="B1" s="1" t="s">
        <v>462</v>
      </c>
    </row>
    <row r="2" spans="1:11" x14ac:dyDescent="0.25">
      <c r="A2" t="str">
        <f>project_1_mobility_operations_d!C1</f>
        <v>Total contract amount</v>
      </c>
      <c r="B2" s="1">
        <f>SUM(project_1_mobility_operations_d!C2:C151)</f>
        <v>900000000</v>
      </c>
    </row>
    <row r="3" spans="1:11" x14ac:dyDescent="0.25">
      <c r="A3" t="str">
        <f>project_1_mobility_operations_d!M1</f>
        <v>Total Received</v>
      </c>
      <c r="B3" s="1">
        <f>SUM(project_1_mobility_operations_d!M2:M151)</f>
        <v>566243809</v>
      </c>
    </row>
    <row r="4" spans="1:11" x14ac:dyDescent="0.25">
      <c r="A4" t="s">
        <v>463</v>
      </c>
      <c r="B4" s="1">
        <f ca="1">SUM(project_1_mobility_operations_d!G2:G151)</f>
        <v>602023000</v>
      </c>
    </row>
    <row r="5" spans="1:11" x14ac:dyDescent="0.25">
      <c r="A5" t="s">
        <v>465</v>
      </c>
      <c r="B5" s="1">
        <f ca="1">SUM(project_1_mobility_operations_d!O2:O151)</f>
        <v>35779191</v>
      </c>
    </row>
    <row r="6" spans="1:11" x14ac:dyDescent="0.25">
      <c r="A6" t="s">
        <v>464</v>
      </c>
      <c r="B6" s="3">
        <f ca="1">B3/B4</f>
        <v>0.94056839854955709</v>
      </c>
    </row>
    <row r="7" spans="1:11" x14ac:dyDescent="0.25">
      <c r="A7" t="s">
        <v>470</v>
      </c>
      <c r="B7" s="3">
        <f>B3/B2</f>
        <v>0.62915978777777781</v>
      </c>
    </row>
    <row r="8" spans="1:11" x14ac:dyDescent="0.25">
      <c r="A8" t="s">
        <v>491</v>
      </c>
      <c r="B8" s="18">
        <f>COUNTIF(project_1_mobility_operations_d!X2:X151,"Original")</f>
        <v>82</v>
      </c>
    </row>
    <row r="9" spans="1:11" x14ac:dyDescent="0.25">
      <c r="A9" t="s">
        <v>490</v>
      </c>
      <c r="B9" s="16">
        <f>COUNTIF(project_1_mobility_operations_d!X2:X151,"Ghost")</f>
        <v>68</v>
      </c>
    </row>
    <row r="10" spans="1:11" x14ac:dyDescent="0.25">
      <c r="A10" t="s">
        <v>489</v>
      </c>
      <c r="B10" s="17">
        <f ca="1">AVERAGE(project_1_mobility_operations_d!V2:V151)</f>
        <v>23.630783313131314</v>
      </c>
    </row>
    <row r="11" spans="1:11" x14ac:dyDescent="0.25">
      <c r="A11" t="s">
        <v>488</v>
      </c>
      <c r="B11" s="17">
        <f>COUNTA(project_1_mobility_operations_d!H2:H151)</f>
        <v>150</v>
      </c>
    </row>
    <row r="13" spans="1:11" x14ac:dyDescent="0.25">
      <c r="A13" t="s">
        <v>467</v>
      </c>
      <c r="B13" s="1" t="s">
        <v>462</v>
      </c>
      <c r="D13" t="s">
        <v>472</v>
      </c>
      <c r="E13" t="s">
        <v>462</v>
      </c>
      <c r="G13" t="s">
        <v>473</v>
      </c>
    </row>
    <row r="14" spans="1:11" x14ac:dyDescent="0.25">
      <c r="A14" t="s">
        <v>292</v>
      </c>
      <c r="B14" s="1">
        <f>SUM(project_1_mobility_operations_d!C52:C101)</f>
        <v>300000000</v>
      </c>
      <c r="D14" t="s">
        <v>292</v>
      </c>
      <c r="E14" s="1">
        <f>SUM(project_1_mobility_operations_d!C2:C51)</f>
        <v>300000000</v>
      </c>
      <c r="G14" t="s">
        <v>292</v>
      </c>
      <c r="H14" s="1">
        <f>SUM(project_1_mobility_operations_d!C102:C151)</f>
        <v>300000000</v>
      </c>
    </row>
    <row r="15" spans="1:11" x14ac:dyDescent="0.25">
      <c r="A15" t="s">
        <v>468</v>
      </c>
      <c r="B15" s="1">
        <f ca="1">SUM(project_1_mobility_operations_d!G52:G101)</f>
        <v>196680000</v>
      </c>
      <c r="D15" t="s">
        <v>468</v>
      </c>
      <c r="E15" s="1">
        <f ca="1">SUM(project_1_mobility_operations_d!G2:G51)</f>
        <v>201746000</v>
      </c>
      <c r="G15" t="s">
        <v>468</v>
      </c>
      <c r="H15" s="1">
        <f ca="1">SUM(project_1_mobility_operations_d!G102:G151)</f>
        <v>203597000</v>
      </c>
      <c r="K15" s="1"/>
    </row>
    <row r="16" spans="1:11" x14ac:dyDescent="0.25">
      <c r="A16" t="s">
        <v>10</v>
      </c>
      <c r="B16" s="1">
        <f>SUM(project_1_mobility_operations_d!M52:M101)</f>
        <v>175144730</v>
      </c>
      <c r="D16" t="s">
        <v>10</v>
      </c>
      <c r="E16" s="1">
        <f>SUM(project_1_mobility_operations_d!M2:M51)</f>
        <v>194726856</v>
      </c>
      <c r="G16" t="s">
        <v>10</v>
      </c>
      <c r="H16" s="1">
        <f>SUM(project_1_mobility_operations_d!M102:M151)</f>
        <v>196372223</v>
      </c>
      <c r="K16" s="1"/>
    </row>
    <row r="17" spans="1:11" x14ac:dyDescent="0.25">
      <c r="A17" t="s">
        <v>465</v>
      </c>
      <c r="B17" s="1">
        <f ca="1">SUM(project_1_mobility_operations_d!O52:O101)</f>
        <v>21535270</v>
      </c>
      <c r="D17" t="s">
        <v>465</v>
      </c>
      <c r="E17" s="1">
        <f ca="1">SUM(project_1_mobility_operations_d!O2:O51)</f>
        <v>7019144</v>
      </c>
      <c r="G17" t="s">
        <v>465</v>
      </c>
      <c r="H17" s="1">
        <f ca="1">SUM(project_1_mobility_operations_d!O102:O151)</f>
        <v>7224777</v>
      </c>
      <c r="K17" s="1"/>
    </row>
    <row r="18" spans="1:11" x14ac:dyDescent="0.25">
      <c r="A18" t="s">
        <v>469</v>
      </c>
      <c r="B18" s="3">
        <f ca="1">B16/B15</f>
        <v>0.8905060504372585</v>
      </c>
      <c r="D18" t="s">
        <v>469</v>
      </c>
      <c r="E18" s="3">
        <f ca="1">E16/E15</f>
        <v>0.96520801403745304</v>
      </c>
      <c r="G18" t="s">
        <v>469</v>
      </c>
      <c r="H18" s="3">
        <f ca="1">H16/H15</f>
        <v>0.9645143248672623</v>
      </c>
    </row>
    <row r="19" spans="1:11" x14ac:dyDescent="0.25">
      <c r="A19" t="s">
        <v>471</v>
      </c>
      <c r="B19" s="3">
        <f>B16/B14</f>
        <v>0.58381576666666668</v>
      </c>
      <c r="D19" t="s">
        <v>471</v>
      </c>
      <c r="E19" s="3">
        <f>E16/E14</f>
        <v>0.64908951999999998</v>
      </c>
      <c r="G19" t="s">
        <v>471</v>
      </c>
      <c r="H19" s="3">
        <f>H16/H14</f>
        <v>0.65457407666666667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6779-9FCD-4B08-ACA6-2C8C1FDFBA25}">
  <dimension ref="A3:F189"/>
  <sheetViews>
    <sheetView tabSelected="1" topLeftCell="A173" workbookViewId="0">
      <selection activeCell="F183" sqref="F183"/>
    </sheetView>
  </sheetViews>
  <sheetFormatPr defaultRowHeight="15" x14ac:dyDescent="0.25"/>
  <cols>
    <col min="1" max="1" width="20.5703125" bestFit="1" customWidth="1"/>
    <col min="2" max="2" width="18.42578125" bestFit="1" customWidth="1"/>
    <col min="3" max="3" width="21.42578125" bestFit="1" customWidth="1"/>
    <col min="4" max="4" width="19" bestFit="1" customWidth="1"/>
    <col min="5" max="5" width="22.42578125" bestFit="1" customWidth="1"/>
    <col min="6" max="6" width="23.140625" bestFit="1" customWidth="1"/>
  </cols>
  <sheetData>
    <row r="3" spans="1:6" x14ac:dyDescent="0.25">
      <c r="A3" t="s">
        <v>477</v>
      </c>
      <c r="B3" t="s">
        <v>474</v>
      </c>
      <c r="C3" t="s">
        <v>475</v>
      </c>
      <c r="D3" t="s">
        <v>476</v>
      </c>
    </row>
    <row r="4" spans="1:6" x14ac:dyDescent="0.25">
      <c r="A4" s="6">
        <v>0.95302576996321386</v>
      </c>
      <c r="B4" s="1">
        <v>602023000</v>
      </c>
      <c r="C4" s="1">
        <v>566243809</v>
      </c>
      <c r="D4" s="1">
        <v>35779191</v>
      </c>
    </row>
    <row r="7" spans="1:6" x14ac:dyDescent="0.25">
      <c r="A7" s="7" t="s">
        <v>478</v>
      </c>
      <c r="B7" t="s">
        <v>475</v>
      </c>
      <c r="C7" t="s">
        <v>477</v>
      </c>
      <c r="D7" t="s">
        <v>474</v>
      </c>
      <c r="E7" t="s">
        <v>476</v>
      </c>
      <c r="F7" t="s">
        <v>484</v>
      </c>
    </row>
    <row r="8" spans="1:6" x14ac:dyDescent="0.25">
      <c r="A8" s="8" t="s">
        <v>205</v>
      </c>
      <c r="B8" s="1">
        <v>196372223</v>
      </c>
      <c r="C8" s="6">
        <v>0.98089466883094178</v>
      </c>
      <c r="D8" s="1">
        <v>203597000</v>
      </c>
      <c r="E8" s="1">
        <v>7224777</v>
      </c>
      <c r="F8" s="1">
        <v>13.139746525252527</v>
      </c>
    </row>
    <row r="9" spans="1:6" x14ac:dyDescent="0.25">
      <c r="A9" s="8" t="s">
        <v>18</v>
      </c>
      <c r="B9" s="1">
        <v>194726856</v>
      </c>
      <c r="C9" s="6">
        <v>0.97713938017975766</v>
      </c>
      <c r="D9" s="1">
        <v>201746000</v>
      </c>
      <c r="E9" s="1">
        <v>7019144</v>
      </c>
      <c r="F9" s="1">
        <v>14.985771373737375</v>
      </c>
    </row>
    <row r="10" spans="1:6" x14ac:dyDescent="0.25">
      <c r="A10" s="8" t="s">
        <v>117</v>
      </c>
      <c r="B10" s="1">
        <v>175144730</v>
      </c>
      <c r="C10" s="6">
        <v>0.90104326087894104</v>
      </c>
      <c r="D10" s="1">
        <v>196680000</v>
      </c>
      <c r="E10" s="1">
        <v>21535270</v>
      </c>
      <c r="F10" s="1">
        <v>42.766832040404033</v>
      </c>
    </row>
    <row r="11" spans="1:6" x14ac:dyDescent="0.25">
      <c r="A11" s="8" t="s">
        <v>479</v>
      </c>
      <c r="B11" s="1">
        <v>566243809</v>
      </c>
      <c r="C11" s="6">
        <v>0.95302576996321386</v>
      </c>
      <c r="D11" s="1">
        <v>602023000</v>
      </c>
      <c r="E11" s="1">
        <v>35779191</v>
      </c>
      <c r="F11" s="1">
        <v>23.630783313131307</v>
      </c>
    </row>
    <row r="15" spans="1:6" x14ac:dyDescent="0.25">
      <c r="B15" s="5" t="s">
        <v>478</v>
      </c>
      <c r="C15" s="5" t="s">
        <v>477</v>
      </c>
    </row>
    <row r="16" spans="1:6" x14ac:dyDescent="0.25">
      <c r="B16" s="10" t="s">
        <v>205</v>
      </c>
      <c r="C16" s="14">
        <v>0.98089466883094178</v>
      </c>
    </row>
    <row r="17" spans="2:4" x14ac:dyDescent="0.25">
      <c r="B17" s="10" t="s">
        <v>18</v>
      </c>
      <c r="C17" s="14">
        <v>0.97713938017975766</v>
      </c>
    </row>
    <row r="18" spans="2:4" x14ac:dyDescent="0.25">
      <c r="B18" s="10" t="s">
        <v>117</v>
      </c>
      <c r="C18" s="14">
        <v>0.90104326087894104</v>
      </c>
    </row>
    <row r="19" spans="2:4" x14ac:dyDescent="0.25">
      <c r="B19" s="11" t="s">
        <v>479</v>
      </c>
      <c r="C19" s="12">
        <v>0.95302576996321386</v>
      </c>
    </row>
    <row r="31" spans="2:4" x14ac:dyDescent="0.25">
      <c r="B31" s="5" t="s">
        <v>478</v>
      </c>
      <c r="C31" s="5" t="s">
        <v>482</v>
      </c>
      <c r="D31" s="5" t="s">
        <v>483</v>
      </c>
    </row>
    <row r="32" spans="2:4" x14ac:dyDescent="0.25">
      <c r="B32" s="10" t="s">
        <v>205</v>
      </c>
      <c r="C32" s="13">
        <v>203597000</v>
      </c>
      <c r="D32" s="13">
        <v>196372223</v>
      </c>
    </row>
    <row r="33" spans="1:6" x14ac:dyDescent="0.25">
      <c r="B33" s="10" t="s">
        <v>18</v>
      </c>
      <c r="C33" s="13">
        <v>201746000</v>
      </c>
      <c r="D33" s="13">
        <v>194726856</v>
      </c>
    </row>
    <row r="34" spans="1:6" x14ac:dyDescent="0.25">
      <c r="B34" s="10" t="s">
        <v>117</v>
      </c>
      <c r="C34" s="13">
        <v>196680000</v>
      </c>
      <c r="D34" s="13">
        <v>175144730</v>
      </c>
    </row>
    <row r="35" spans="1:6" x14ac:dyDescent="0.25">
      <c r="C35" s="15"/>
    </row>
    <row r="44" spans="1:6" x14ac:dyDescent="0.25">
      <c r="A44" s="7" t="s">
        <v>12</v>
      </c>
      <c r="B44" t="s">
        <v>481</v>
      </c>
    </row>
    <row r="45" spans="1:6" x14ac:dyDescent="0.25">
      <c r="A45" s="7" t="s">
        <v>450</v>
      </c>
      <c r="B45" t="s">
        <v>487</v>
      </c>
    </row>
    <row r="47" spans="1:6" x14ac:dyDescent="0.25">
      <c r="A47" s="7" t="s">
        <v>478</v>
      </c>
      <c r="B47" t="s">
        <v>474</v>
      </c>
      <c r="C47" t="s">
        <v>475</v>
      </c>
      <c r="D47" t="s">
        <v>476</v>
      </c>
      <c r="E47" t="s">
        <v>484</v>
      </c>
      <c r="F47" t="s">
        <v>477</v>
      </c>
    </row>
    <row r="48" spans="1:6" x14ac:dyDescent="0.25">
      <c r="A48" s="8" t="s">
        <v>205</v>
      </c>
      <c r="B48" s="4">
        <v>21883000</v>
      </c>
      <c r="C48" s="4">
        <v>12819045</v>
      </c>
      <c r="D48" s="4">
        <v>9063955</v>
      </c>
      <c r="E48" s="4">
        <v>178.67364545454544</v>
      </c>
      <c r="F48" s="4">
        <v>0.58840310731215661</v>
      </c>
    </row>
    <row r="49" spans="1:6" x14ac:dyDescent="0.25">
      <c r="A49" s="9" t="s">
        <v>259</v>
      </c>
      <c r="B49" s="4">
        <v>4670000</v>
      </c>
      <c r="C49" s="4">
        <v>2233406</v>
      </c>
      <c r="D49" s="4">
        <v>2436594</v>
      </c>
      <c r="E49" s="4">
        <v>243.65940000000001</v>
      </c>
      <c r="F49" s="4">
        <v>0.47824539614561029</v>
      </c>
    </row>
    <row r="50" spans="1:6" x14ac:dyDescent="0.25">
      <c r="A50" s="9" t="s">
        <v>22</v>
      </c>
      <c r="B50" s="4">
        <v>4500000</v>
      </c>
      <c r="C50" s="4">
        <v>2423590</v>
      </c>
      <c r="D50" s="4">
        <v>2076410</v>
      </c>
      <c r="E50" s="4">
        <v>207.64099999999999</v>
      </c>
      <c r="F50" s="4">
        <v>0.53857555555555559</v>
      </c>
    </row>
    <row r="51" spans="1:6" x14ac:dyDescent="0.25">
      <c r="A51" s="9" t="s">
        <v>245</v>
      </c>
      <c r="B51" s="4">
        <v>3910000</v>
      </c>
      <c r="C51" s="4">
        <v>2454832</v>
      </c>
      <c r="D51" s="4">
        <v>1455168</v>
      </c>
      <c r="E51" s="4">
        <v>145.51679999999999</v>
      </c>
      <c r="F51" s="4">
        <v>0.62783427109974421</v>
      </c>
    </row>
    <row r="52" spans="1:6" x14ac:dyDescent="0.25">
      <c r="A52" s="9" t="s">
        <v>73</v>
      </c>
      <c r="B52" s="4">
        <v>4480000</v>
      </c>
      <c r="C52" s="4">
        <v>2817217</v>
      </c>
      <c r="D52" s="4">
        <v>1662783</v>
      </c>
      <c r="E52" s="4">
        <v>166.2783</v>
      </c>
      <c r="F52" s="4">
        <v>0.62884308035714287</v>
      </c>
    </row>
    <row r="53" spans="1:6" x14ac:dyDescent="0.25">
      <c r="A53" s="9" t="s">
        <v>224</v>
      </c>
      <c r="B53" s="4">
        <v>4323000</v>
      </c>
      <c r="C53" s="4">
        <v>2890000</v>
      </c>
      <c r="D53" s="4">
        <v>1433000</v>
      </c>
      <c r="E53" s="4">
        <v>130.27272727272728</v>
      </c>
      <c r="F53" s="4">
        <v>0.66851723340272962</v>
      </c>
    </row>
    <row r="54" spans="1:6" x14ac:dyDescent="0.25">
      <c r="A54" s="8" t="s">
        <v>18</v>
      </c>
      <c r="B54" s="4">
        <v>23103000</v>
      </c>
      <c r="C54" s="4">
        <v>14320345</v>
      </c>
      <c r="D54" s="4">
        <v>8782655</v>
      </c>
      <c r="E54" s="4">
        <v>172.84764545454544</v>
      </c>
      <c r="F54" s="4">
        <v>0.62094224262941988</v>
      </c>
    </row>
    <row r="55" spans="1:6" x14ac:dyDescent="0.25">
      <c r="A55" s="9" t="s">
        <v>55</v>
      </c>
      <c r="B55" s="4">
        <v>4810000</v>
      </c>
      <c r="C55" s="4">
        <v>2567845</v>
      </c>
      <c r="D55" s="4">
        <v>2242155</v>
      </c>
      <c r="E55" s="4">
        <v>224.21549999999999</v>
      </c>
      <c r="F55" s="4">
        <v>0.53385550935550941</v>
      </c>
    </row>
    <row r="56" spans="1:6" x14ac:dyDescent="0.25">
      <c r="A56" s="9" t="s">
        <v>91</v>
      </c>
      <c r="B56" s="4">
        <v>4620000</v>
      </c>
      <c r="C56" s="4">
        <v>2725337</v>
      </c>
      <c r="D56" s="4">
        <v>1894663</v>
      </c>
      <c r="E56" s="4">
        <v>189.46629999999999</v>
      </c>
      <c r="F56" s="4">
        <v>0.58989978354978356</v>
      </c>
    </row>
    <row r="57" spans="1:6" x14ac:dyDescent="0.25">
      <c r="A57" s="9" t="s">
        <v>16</v>
      </c>
      <c r="B57" s="4">
        <v>4740000</v>
      </c>
      <c r="C57" s="4">
        <v>3111227</v>
      </c>
      <c r="D57" s="4">
        <v>1628773</v>
      </c>
      <c r="E57" s="4">
        <v>162.87729999999999</v>
      </c>
      <c r="F57" s="4">
        <v>0.65637700421940925</v>
      </c>
    </row>
    <row r="58" spans="1:6" x14ac:dyDescent="0.25">
      <c r="A58" s="9" t="s">
        <v>57</v>
      </c>
      <c r="B58" s="4">
        <v>4543000</v>
      </c>
      <c r="C58" s="4">
        <v>3000000</v>
      </c>
      <c r="D58" s="4">
        <v>1543000</v>
      </c>
      <c r="E58" s="4">
        <v>140.27272727272728</v>
      </c>
      <c r="F58" s="4">
        <v>0.66035659255998236</v>
      </c>
    </row>
    <row r="59" spans="1:6" x14ac:dyDescent="0.25">
      <c r="A59" s="9" t="s">
        <v>79</v>
      </c>
      <c r="B59" s="4">
        <v>4390000</v>
      </c>
      <c r="C59" s="4">
        <v>2915936</v>
      </c>
      <c r="D59" s="4">
        <v>1474064</v>
      </c>
      <c r="E59" s="4">
        <v>147.40639999999999</v>
      </c>
      <c r="F59" s="4">
        <v>0.66422232346241461</v>
      </c>
    </row>
    <row r="60" spans="1:6" x14ac:dyDescent="0.25">
      <c r="A60" s="8" t="s">
        <v>117</v>
      </c>
      <c r="B60" s="4">
        <v>43029000</v>
      </c>
      <c r="C60" s="4">
        <v>27385715</v>
      </c>
      <c r="D60" s="4">
        <v>15643285</v>
      </c>
      <c r="E60" s="4">
        <v>156.74745262626263</v>
      </c>
      <c r="F60" s="4">
        <v>0.63709434324570557</v>
      </c>
    </row>
    <row r="61" spans="1:6" x14ac:dyDescent="0.25">
      <c r="A61" s="9" t="s">
        <v>140</v>
      </c>
      <c r="B61" s="4">
        <v>4810000</v>
      </c>
      <c r="C61" s="4">
        <v>2627918</v>
      </c>
      <c r="D61" s="4">
        <v>2182082</v>
      </c>
      <c r="E61" s="4">
        <v>218.20820000000001</v>
      </c>
      <c r="F61" s="4">
        <v>0.54634469854469858</v>
      </c>
    </row>
    <row r="62" spans="1:6" x14ac:dyDescent="0.25">
      <c r="A62" s="9" t="s">
        <v>176</v>
      </c>
      <c r="B62" s="4">
        <v>3850000</v>
      </c>
      <c r="C62" s="4">
        <v>2148847</v>
      </c>
      <c r="D62" s="4">
        <v>1701153</v>
      </c>
      <c r="E62" s="4">
        <v>170.11529999999999</v>
      </c>
      <c r="F62" s="4">
        <v>0.55814207792207793</v>
      </c>
    </row>
    <row r="63" spans="1:6" x14ac:dyDescent="0.25">
      <c r="A63" s="9" t="s">
        <v>168</v>
      </c>
      <c r="B63" s="4">
        <v>3870000</v>
      </c>
      <c r="C63" s="4">
        <v>2457110</v>
      </c>
      <c r="D63" s="4">
        <v>1412890</v>
      </c>
      <c r="E63" s="4">
        <v>141.28899999999999</v>
      </c>
      <c r="F63" s="4">
        <v>0.63491214470284241</v>
      </c>
    </row>
    <row r="64" spans="1:6" x14ac:dyDescent="0.25">
      <c r="A64" s="9" t="s">
        <v>32</v>
      </c>
      <c r="B64" s="4">
        <v>4660000</v>
      </c>
      <c r="C64" s="4">
        <v>2965388</v>
      </c>
      <c r="D64" s="4">
        <v>1694612</v>
      </c>
      <c r="E64" s="4">
        <v>169.46119999999999</v>
      </c>
      <c r="F64" s="4">
        <v>0.63634935622317601</v>
      </c>
    </row>
    <row r="65" spans="1:6" x14ac:dyDescent="0.25">
      <c r="A65" s="9" t="s">
        <v>186</v>
      </c>
      <c r="B65" s="4">
        <v>4610000</v>
      </c>
      <c r="C65" s="4">
        <v>2970737</v>
      </c>
      <c r="D65" s="4">
        <v>1639263</v>
      </c>
      <c r="E65" s="4">
        <v>163.9263</v>
      </c>
      <c r="F65" s="4">
        <v>0.6444114967462039</v>
      </c>
    </row>
    <row r="66" spans="1:6" x14ac:dyDescent="0.25">
      <c r="A66" s="9" t="s">
        <v>20</v>
      </c>
      <c r="B66" s="4">
        <v>4203000</v>
      </c>
      <c r="C66" s="4">
        <v>2713532</v>
      </c>
      <c r="D66" s="4">
        <v>1489468</v>
      </c>
      <c r="E66" s="4">
        <v>165.49644444444445</v>
      </c>
      <c r="F66" s="4">
        <v>0.64561789198191766</v>
      </c>
    </row>
    <row r="67" spans="1:6" x14ac:dyDescent="0.25">
      <c r="A67" s="9" t="s">
        <v>128</v>
      </c>
      <c r="B67" s="4">
        <v>4246000</v>
      </c>
      <c r="C67" s="4">
        <v>2771602</v>
      </c>
      <c r="D67" s="4">
        <v>1474398</v>
      </c>
      <c r="E67" s="4">
        <v>134.03618181818183</v>
      </c>
      <c r="F67" s="4">
        <v>0.65275600565237868</v>
      </c>
    </row>
    <row r="68" spans="1:6" x14ac:dyDescent="0.25">
      <c r="A68" s="9" t="s">
        <v>190</v>
      </c>
      <c r="B68" s="4">
        <v>4680000</v>
      </c>
      <c r="C68" s="4">
        <v>3146210</v>
      </c>
      <c r="D68" s="4">
        <v>1533790</v>
      </c>
      <c r="E68" s="4">
        <v>153.37899999999999</v>
      </c>
      <c r="F68" s="4">
        <v>0.67226709401709406</v>
      </c>
    </row>
    <row r="69" spans="1:6" x14ac:dyDescent="0.25">
      <c r="A69" s="9" t="s">
        <v>164</v>
      </c>
      <c r="B69" s="4">
        <v>4500000</v>
      </c>
      <c r="C69" s="4">
        <v>3079287</v>
      </c>
      <c r="D69" s="4">
        <v>1420713</v>
      </c>
      <c r="E69" s="4">
        <v>142.07130000000001</v>
      </c>
      <c r="F69" s="4">
        <v>0.68428599999999995</v>
      </c>
    </row>
    <row r="70" spans="1:6" x14ac:dyDescent="0.25">
      <c r="A70" s="9" t="s">
        <v>126</v>
      </c>
      <c r="B70" s="4">
        <v>3600000</v>
      </c>
      <c r="C70" s="4">
        <v>2505084</v>
      </c>
      <c r="D70" s="4">
        <v>1094916</v>
      </c>
      <c r="E70" s="4">
        <v>109.49160000000001</v>
      </c>
      <c r="F70" s="4">
        <v>0.69585666666666668</v>
      </c>
    </row>
    <row r="71" spans="1:6" x14ac:dyDescent="0.25">
      <c r="A71" s="8" t="s">
        <v>479</v>
      </c>
      <c r="B71" s="4">
        <v>88015000</v>
      </c>
      <c r="C71" s="4">
        <v>54525105</v>
      </c>
      <c r="D71" s="4">
        <v>33489895</v>
      </c>
      <c r="E71" s="4">
        <v>166.25404904040403</v>
      </c>
      <c r="F71" s="4">
        <v>0.62088350910824686</v>
      </c>
    </row>
    <row r="72" spans="1:6" x14ac:dyDescent="0.25">
      <c r="A72" s="8"/>
      <c r="B72" s="4"/>
      <c r="C72" s="4"/>
      <c r="D72" s="4"/>
      <c r="E72" s="4"/>
      <c r="F72" s="4"/>
    </row>
    <row r="73" spans="1:6" x14ac:dyDescent="0.25">
      <c r="A73" s="8"/>
      <c r="B73" s="4"/>
      <c r="C73" s="4"/>
      <c r="D73" s="4"/>
      <c r="E73" s="4"/>
      <c r="F73" s="4"/>
    </row>
    <row r="74" spans="1:6" x14ac:dyDescent="0.25">
      <c r="A74" s="8"/>
      <c r="B74" s="4"/>
      <c r="C74" s="4"/>
      <c r="D74" s="4"/>
      <c r="E74" s="4"/>
      <c r="F74" s="4"/>
    </row>
    <row r="75" spans="1:6" x14ac:dyDescent="0.25">
      <c r="A75" s="8"/>
      <c r="B75" s="4"/>
      <c r="C75" s="4"/>
      <c r="D75" s="4"/>
      <c r="E75" s="4"/>
      <c r="F75" s="4"/>
    </row>
    <row r="76" spans="1:6" x14ac:dyDescent="0.25">
      <c r="A76" s="8"/>
      <c r="B76" s="4"/>
      <c r="C76" s="4"/>
      <c r="D76" s="4"/>
      <c r="E76" s="4"/>
      <c r="F76" s="4"/>
    </row>
    <row r="77" spans="1:6" x14ac:dyDescent="0.25">
      <c r="A77" s="8"/>
      <c r="B77" s="4"/>
      <c r="C77" s="4"/>
      <c r="D77" s="4"/>
      <c r="E77" s="4"/>
      <c r="F77" s="4"/>
    </row>
    <row r="78" spans="1:6" x14ac:dyDescent="0.25">
      <c r="A78" s="8"/>
      <c r="B78" s="4"/>
      <c r="C78" s="4"/>
      <c r="D78" s="4"/>
      <c r="E78" s="4"/>
      <c r="F78" s="4"/>
    </row>
    <row r="79" spans="1:6" x14ac:dyDescent="0.25">
      <c r="A79" s="8"/>
      <c r="B79" s="4"/>
      <c r="C79" s="4"/>
      <c r="D79" s="4"/>
      <c r="E79" s="4"/>
      <c r="F79" s="4"/>
    </row>
    <row r="80" spans="1:6" x14ac:dyDescent="0.25">
      <c r="A80" s="8"/>
      <c r="B80" s="4"/>
      <c r="C80" s="4"/>
      <c r="D80" s="4"/>
      <c r="E80" s="4"/>
      <c r="F80" s="4"/>
    </row>
    <row r="81" spans="1:6" x14ac:dyDescent="0.25">
      <c r="A81" s="8"/>
      <c r="B81" s="4"/>
      <c r="C81" s="4"/>
      <c r="D81" s="4"/>
      <c r="E81" s="4"/>
      <c r="F81" s="4"/>
    </row>
    <row r="82" spans="1:6" x14ac:dyDescent="0.25">
      <c r="A82" s="8"/>
      <c r="B82" s="4"/>
      <c r="C82" s="4"/>
      <c r="D82" s="4"/>
      <c r="E82" s="4"/>
      <c r="F82" s="4"/>
    </row>
    <row r="83" spans="1:6" x14ac:dyDescent="0.25">
      <c r="A83" s="8"/>
      <c r="B83" s="4"/>
      <c r="C83" s="4"/>
      <c r="D83" s="4"/>
      <c r="E83" s="4"/>
      <c r="F83" s="4"/>
    </row>
    <row r="84" spans="1:6" x14ac:dyDescent="0.25">
      <c r="A84" s="8"/>
      <c r="B84" s="4"/>
      <c r="C84" s="4"/>
      <c r="D84" s="4"/>
      <c r="E84" s="4"/>
      <c r="F84" s="4"/>
    </row>
    <row r="85" spans="1:6" x14ac:dyDescent="0.25">
      <c r="A85" s="8"/>
      <c r="B85" s="4"/>
      <c r="C85" s="4"/>
      <c r="D85" s="4"/>
      <c r="E85" s="4"/>
      <c r="F85" s="4"/>
    </row>
    <row r="86" spans="1:6" x14ac:dyDescent="0.25">
      <c r="A86" s="8"/>
      <c r="B86" s="4"/>
      <c r="C86" s="4"/>
      <c r="D86" s="4"/>
      <c r="E86" s="4"/>
      <c r="F86" s="4"/>
    </row>
    <row r="87" spans="1:6" x14ac:dyDescent="0.25">
      <c r="A87" s="8"/>
      <c r="B87" s="4"/>
      <c r="C87" s="4"/>
      <c r="D87" s="4"/>
      <c r="E87" s="4"/>
      <c r="F87" s="4"/>
    </row>
    <row r="88" spans="1:6" x14ac:dyDescent="0.25">
      <c r="A88" s="8"/>
      <c r="B88" s="4"/>
      <c r="C88" s="4"/>
      <c r="D88" s="4"/>
      <c r="E88" s="4"/>
      <c r="F88" s="4"/>
    </row>
    <row r="89" spans="1:6" x14ac:dyDescent="0.25">
      <c r="A89" s="8"/>
      <c r="B89" s="4"/>
      <c r="C89" s="4"/>
      <c r="D89" s="4"/>
      <c r="E89" s="4"/>
      <c r="F89" s="4"/>
    </row>
    <row r="90" spans="1:6" x14ac:dyDescent="0.25">
      <c r="A90" s="8"/>
      <c r="B90" s="4"/>
      <c r="C90" s="4"/>
      <c r="D90" s="4"/>
      <c r="E90" s="4"/>
      <c r="F90" s="4"/>
    </row>
    <row r="91" spans="1:6" x14ac:dyDescent="0.25">
      <c r="A91" s="8"/>
      <c r="B91" s="4"/>
      <c r="C91" s="4"/>
      <c r="D91" s="4"/>
      <c r="E91" s="4"/>
      <c r="F91" s="4"/>
    </row>
    <row r="92" spans="1:6" x14ac:dyDescent="0.25">
      <c r="A92" s="8"/>
      <c r="B92" s="4"/>
      <c r="C92" s="4"/>
      <c r="D92" s="4"/>
      <c r="E92" s="4"/>
      <c r="F92" s="4"/>
    </row>
    <row r="93" spans="1:6" x14ac:dyDescent="0.25">
      <c r="A93" s="8"/>
      <c r="B93" s="4"/>
      <c r="C93" s="4"/>
      <c r="D93" s="4"/>
      <c r="E93" s="4"/>
      <c r="F93" s="4"/>
    </row>
    <row r="94" spans="1:6" x14ac:dyDescent="0.25">
      <c r="A94" s="8"/>
      <c r="B94" s="4"/>
      <c r="C94" s="4"/>
      <c r="D94" s="4"/>
      <c r="E94" s="4"/>
      <c r="F94" s="4"/>
    </row>
    <row r="95" spans="1:6" x14ac:dyDescent="0.25">
      <c r="A95" s="8"/>
      <c r="B95" s="4"/>
      <c r="C95" s="4"/>
      <c r="D95" s="4"/>
      <c r="E95" s="4"/>
      <c r="F95" s="4"/>
    </row>
    <row r="96" spans="1:6" x14ac:dyDescent="0.25">
      <c r="A96" s="8"/>
      <c r="B96" s="4"/>
      <c r="C96" s="4"/>
      <c r="D96" s="4"/>
      <c r="E96" s="4"/>
      <c r="F96" s="4"/>
    </row>
    <row r="97" spans="1:6" x14ac:dyDescent="0.25">
      <c r="A97" s="8"/>
      <c r="B97" s="4"/>
      <c r="C97" s="4"/>
      <c r="D97" s="4"/>
      <c r="E97" s="4"/>
      <c r="F97" s="4"/>
    </row>
    <row r="98" spans="1:6" x14ac:dyDescent="0.25">
      <c r="A98" s="8"/>
      <c r="B98" s="4"/>
      <c r="C98" s="4"/>
      <c r="D98" s="4"/>
      <c r="E98" s="4"/>
      <c r="F98" s="4"/>
    </row>
    <row r="99" spans="1:6" x14ac:dyDescent="0.25">
      <c r="A99" s="8"/>
      <c r="B99" s="4"/>
      <c r="C99" s="4"/>
      <c r="D99" s="4"/>
      <c r="E99" s="4"/>
      <c r="F99" s="4"/>
    </row>
    <row r="100" spans="1:6" x14ac:dyDescent="0.25">
      <c r="A100" s="8"/>
      <c r="B100" s="4"/>
      <c r="C100" s="4"/>
      <c r="D100" s="4"/>
      <c r="E100" s="4"/>
      <c r="F100" s="4"/>
    </row>
    <row r="101" spans="1:6" x14ac:dyDescent="0.25">
      <c r="A101" s="8"/>
      <c r="B101" s="4"/>
      <c r="C101" s="4"/>
      <c r="D101" s="4"/>
      <c r="E101" s="4"/>
      <c r="F101" s="4"/>
    </row>
    <row r="102" spans="1:6" x14ac:dyDescent="0.25">
      <c r="A102" s="8"/>
      <c r="B102" s="4"/>
      <c r="C102" s="4"/>
      <c r="D102" s="4"/>
      <c r="E102" s="4"/>
      <c r="F102" s="4"/>
    </row>
    <row r="103" spans="1:6" x14ac:dyDescent="0.25">
      <c r="A103" s="8"/>
      <c r="B103" s="4"/>
      <c r="C103" s="4"/>
      <c r="D103" s="4"/>
      <c r="E103" s="4"/>
      <c r="F103" s="4"/>
    </row>
    <row r="104" spans="1:6" x14ac:dyDescent="0.25">
      <c r="A104" s="8"/>
      <c r="B104" s="4"/>
      <c r="C104" s="4"/>
      <c r="D104" s="4"/>
      <c r="E104" s="4"/>
      <c r="F104" s="4"/>
    </row>
    <row r="105" spans="1:6" x14ac:dyDescent="0.25">
      <c r="A105" s="8"/>
      <c r="B105" s="4"/>
      <c r="C105" s="4"/>
      <c r="D105" s="4"/>
      <c r="E105" s="4"/>
      <c r="F105" s="4"/>
    </row>
    <row r="106" spans="1:6" x14ac:dyDescent="0.25">
      <c r="A106" s="8"/>
      <c r="B106" s="4"/>
      <c r="C106" s="4"/>
      <c r="D106" s="4"/>
      <c r="E106" s="4"/>
      <c r="F106" s="4"/>
    </row>
    <row r="107" spans="1:6" x14ac:dyDescent="0.25">
      <c r="A107" s="8"/>
      <c r="B107" s="4"/>
      <c r="C107" s="4"/>
      <c r="D107" s="4"/>
      <c r="E107" s="4"/>
      <c r="F107" s="4"/>
    </row>
    <row r="108" spans="1:6" x14ac:dyDescent="0.25">
      <c r="A108" s="8"/>
      <c r="B108" s="4"/>
      <c r="C108" s="4"/>
      <c r="D108" s="4"/>
      <c r="E108" s="4"/>
      <c r="F108" s="4"/>
    </row>
    <row r="109" spans="1:6" x14ac:dyDescent="0.25">
      <c r="A109" s="8"/>
      <c r="B109" s="4"/>
      <c r="C109" s="4"/>
      <c r="D109" s="4"/>
      <c r="E109" s="4"/>
      <c r="F109" s="4"/>
    </row>
    <row r="110" spans="1:6" x14ac:dyDescent="0.25">
      <c r="A110" s="8"/>
      <c r="B110" s="4"/>
      <c r="C110" s="4"/>
      <c r="D110" s="4"/>
      <c r="E110" s="4"/>
      <c r="F110" s="4"/>
    </row>
    <row r="111" spans="1:6" x14ac:dyDescent="0.25">
      <c r="A111" s="8"/>
      <c r="B111" s="4"/>
      <c r="C111" s="4"/>
      <c r="D111" s="4"/>
      <c r="E111" s="4"/>
      <c r="F111" s="4"/>
    </row>
    <row r="112" spans="1:6" x14ac:dyDescent="0.25">
      <c r="A112" s="8"/>
      <c r="B112" s="4"/>
      <c r="C112" s="4"/>
      <c r="D112" s="4"/>
      <c r="E112" s="4"/>
      <c r="F112" s="4"/>
    </row>
    <row r="113" spans="1:6" x14ac:dyDescent="0.25">
      <c r="A113" s="8"/>
      <c r="B113" s="4"/>
      <c r="C113" s="4"/>
      <c r="D113" s="4"/>
      <c r="E113" s="4"/>
      <c r="F113" s="4"/>
    </row>
    <row r="114" spans="1:6" x14ac:dyDescent="0.25">
      <c r="A114" s="8"/>
      <c r="B114" s="4"/>
      <c r="C114" s="4"/>
      <c r="D114" s="4"/>
      <c r="E114" s="4"/>
      <c r="F114" s="4"/>
    </row>
    <row r="115" spans="1:6" x14ac:dyDescent="0.25">
      <c r="A115" s="8"/>
      <c r="B115" s="4"/>
      <c r="C115" s="4"/>
      <c r="D115" s="4"/>
      <c r="E115" s="4"/>
      <c r="F115" s="4"/>
    </row>
    <row r="116" spans="1:6" x14ac:dyDescent="0.25">
      <c r="A116" s="8"/>
      <c r="B116" s="4"/>
      <c r="C116" s="4"/>
      <c r="D116" s="4"/>
      <c r="E116" s="4"/>
      <c r="F116" s="4"/>
    </row>
    <row r="117" spans="1:6" x14ac:dyDescent="0.25">
      <c r="A117" s="8"/>
      <c r="B117" s="4"/>
      <c r="C117" s="4"/>
      <c r="D117" s="4"/>
      <c r="E117" s="4"/>
      <c r="F117" s="4"/>
    </row>
    <row r="118" spans="1:6" x14ac:dyDescent="0.25">
      <c r="A118" s="8"/>
      <c r="B118" s="4"/>
      <c r="C118" s="4"/>
      <c r="D118" s="4"/>
      <c r="E118" s="4"/>
      <c r="F118" s="4"/>
    </row>
    <row r="119" spans="1:6" x14ac:dyDescent="0.25">
      <c r="A119" s="8"/>
      <c r="B119" s="4"/>
      <c r="C119" s="4"/>
      <c r="D119" s="4"/>
      <c r="E119" s="4"/>
      <c r="F119" s="4"/>
    </row>
    <row r="120" spans="1:6" x14ac:dyDescent="0.25">
      <c r="A120" s="8"/>
      <c r="B120" s="4"/>
      <c r="C120" s="4"/>
      <c r="D120" s="4"/>
      <c r="E120" s="4"/>
      <c r="F120" s="4"/>
    </row>
    <row r="122" spans="1:6" x14ac:dyDescent="0.25">
      <c r="A122" s="10" t="s">
        <v>205</v>
      </c>
      <c r="B122" s="5" t="s">
        <v>477</v>
      </c>
      <c r="C122" s="5" t="s">
        <v>477</v>
      </c>
    </row>
    <row r="123" spans="1:6" x14ac:dyDescent="0.25">
      <c r="A123" s="9" t="s">
        <v>493</v>
      </c>
      <c r="B123" s="20">
        <v>0.58840310731215661</v>
      </c>
      <c r="C123" s="19">
        <v>0.58840310731215661</v>
      </c>
    </row>
    <row r="124" spans="1:6" x14ac:dyDescent="0.25">
      <c r="A124" s="10" t="s">
        <v>18</v>
      </c>
      <c r="B124" s="3"/>
    </row>
    <row r="125" spans="1:6" x14ac:dyDescent="0.25">
      <c r="A125" s="9" t="s">
        <v>492</v>
      </c>
      <c r="B125" s="3">
        <v>0.53385550935550941</v>
      </c>
      <c r="C125" s="4">
        <v>0.53385550935550941</v>
      </c>
    </row>
    <row r="126" spans="1:6" x14ac:dyDescent="0.25">
      <c r="A126" s="10" t="s">
        <v>117</v>
      </c>
      <c r="B126" s="3"/>
    </row>
    <row r="127" spans="1:6" x14ac:dyDescent="0.25">
      <c r="A127" s="9" t="s">
        <v>494</v>
      </c>
      <c r="B127" s="3">
        <v>0.54634469854469858</v>
      </c>
      <c r="C127" s="4">
        <v>0.54634469854469858</v>
      </c>
    </row>
    <row r="128" spans="1:6" x14ac:dyDescent="0.25">
      <c r="A128" s="9"/>
    </row>
    <row r="130" spans="1:5" x14ac:dyDescent="0.25">
      <c r="A130" s="7" t="s">
        <v>451</v>
      </c>
      <c r="B130" t="s">
        <v>17</v>
      </c>
    </row>
    <row r="131" spans="1:5" x14ac:dyDescent="0.25">
      <c r="A131" s="7" t="s">
        <v>12</v>
      </c>
      <c r="B131" t="s">
        <v>481</v>
      </c>
    </row>
    <row r="133" spans="1:5" x14ac:dyDescent="0.25">
      <c r="A133" s="7" t="s">
        <v>478</v>
      </c>
      <c r="B133" t="s">
        <v>495</v>
      </c>
      <c r="C133" t="s">
        <v>475</v>
      </c>
      <c r="D133" t="s">
        <v>476</v>
      </c>
      <c r="E133" t="s">
        <v>484</v>
      </c>
    </row>
    <row r="134" spans="1:5" x14ac:dyDescent="0.25">
      <c r="A134" s="8" t="s">
        <v>205</v>
      </c>
      <c r="B134" s="4">
        <v>20</v>
      </c>
      <c r="C134" s="4">
        <v>94786557</v>
      </c>
      <c r="D134" s="4">
        <v>-18077557</v>
      </c>
      <c r="E134" s="4">
        <v>-93.147186060606046</v>
      </c>
    </row>
    <row r="135" spans="1:5" x14ac:dyDescent="0.25">
      <c r="A135" s="8" t="s">
        <v>18</v>
      </c>
      <c r="B135" s="4">
        <v>22</v>
      </c>
      <c r="C135" s="4">
        <v>100908779</v>
      </c>
      <c r="D135" s="4">
        <v>-15170779</v>
      </c>
      <c r="E135" s="4">
        <v>-67.878489072543616</v>
      </c>
    </row>
    <row r="136" spans="1:5" x14ac:dyDescent="0.25">
      <c r="A136" s="8" t="s">
        <v>117</v>
      </c>
      <c r="B136" s="4">
        <v>14</v>
      </c>
      <c r="C136" s="4">
        <v>62352166</v>
      </c>
      <c r="D136" s="4">
        <v>-10018166</v>
      </c>
      <c r="E136" s="4">
        <v>-72.349217821067825</v>
      </c>
    </row>
    <row r="137" spans="1:5" x14ac:dyDescent="0.25">
      <c r="A137" s="8" t="s">
        <v>479</v>
      </c>
      <c r="B137" s="4">
        <v>56</v>
      </c>
      <c r="C137" s="4">
        <v>258047502</v>
      </c>
      <c r="D137" s="4">
        <v>-43266502</v>
      </c>
      <c r="E137" s="4">
        <v>-78.020705898268375</v>
      </c>
    </row>
    <row r="142" spans="1:5" x14ac:dyDescent="0.25">
      <c r="A142" s="7" t="s">
        <v>478</v>
      </c>
      <c r="B142" t="s">
        <v>480</v>
      </c>
    </row>
    <row r="143" spans="1:5" x14ac:dyDescent="0.25">
      <c r="A143" s="8" t="s">
        <v>205</v>
      </c>
      <c r="B143" s="4">
        <v>50</v>
      </c>
    </row>
    <row r="144" spans="1:5" x14ac:dyDescent="0.25">
      <c r="A144" s="9" t="s">
        <v>17</v>
      </c>
      <c r="B144" s="4">
        <v>20</v>
      </c>
    </row>
    <row r="145" spans="1:2" x14ac:dyDescent="0.25">
      <c r="A145" s="9" t="s">
        <v>291</v>
      </c>
      <c r="B145" s="4">
        <v>30</v>
      </c>
    </row>
    <row r="146" spans="1:2" x14ac:dyDescent="0.25">
      <c r="A146" s="8" t="s">
        <v>18</v>
      </c>
      <c r="B146" s="4">
        <v>50</v>
      </c>
    </row>
    <row r="147" spans="1:2" x14ac:dyDescent="0.25">
      <c r="A147" s="9" t="s">
        <v>17</v>
      </c>
      <c r="B147" s="4">
        <v>22</v>
      </c>
    </row>
    <row r="148" spans="1:2" x14ac:dyDescent="0.25">
      <c r="A148" s="9" t="s">
        <v>291</v>
      </c>
      <c r="B148" s="4">
        <v>28</v>
      </c>
    </row>
    <row r="149" spans="1:2" x14ac:dyDescent="0.25">
      <c r="A149" s="8" t="s">
        <v>117</v>
      </c>
      <c r="B149" s="4">
        <v>50</v>
      </c>
    </row>
    <row r="150" spans="1:2" x14ac:dyDescent="0.25">
      <c r="A150" s="9" t="s">
        <v>17</v>
      </c>
      <c r="B150" s="4">
        <v>14</v>
      </c>
    </row>
    <row r="151" spans="1:2" x14ac:dyDescent="0.25">
      <c r="A151" s="9" t="s">
        <v>291</v>
      </c>
      <c r="B151" s="4">
        <v>36</v>
      </c>
    </row>
    <row r="152" spans="1:2" x14ac:dyDescent="0.25">
      <c r="A152" s="8" t="s">
        <v>479</v>
      </c>
      <c r="B152" s="4">
        <v>150</v>
      </c>
    </row>
    <row r="159" spans="1:2" x14ac:dyDescent="0.25">
      <c r="A159" s="7" t="s">
        <v>478</v>
      </c>
      <c r="B159" t="s">
        <v>480</v>
      </c>
    </row>
    <row r="160" spans="1:2" x14ac:dyDescent="0.25">
      <c r="A160" s="8" t="s">
        <v>205</v>
      </c>
      <c r="B160" s="4">
        <v>50</v>
      </c>
    </row>
    <row r="161" spans="1:2" x14ac:dyDescent="0.25">
      <c r="A161" s="9" t="s">
        <v>14</v>
      </c>
      <c r="B161" s="4">
        <v>39</v>
      </c>
    </row>
    <row r="162" spans="1:2" x14ac:dyDescent="0.25">
      <c r="A162" s="9" t="s">
        <v>142</v>
      </c>
      <c r="B162" s="4">
        <v>11</v>
      </c>
    </row>
    <row r="163" spans="1:2" x14ac:dyDescent="0.25">
      <c r="A163" s="8" t="s">
        <v>18</v>
      </c>
      <c r="B163" s="4">
        <v>50</v>
      </c>
    </row>
    <row r="164" spans="1:2" x14ac:dyDescent="0.25">
      <c r="A164" s="9" t="s">
        <v>14</v>
      </c>
      <c r="B164" s="4">
        <v>41</v>
      </c>
    </row>
    <row r="165" spans="1:2" x14ac:dyDescent="0.25">
      <c r="A165" s="9" t="s">
        <v>142</v>
      </c>
      <c r="B165" s="4">
        <v>9</v>
      </c>
    </row>
    <row r="166" spans="1:2" x14ac:dyDescent="0.25">
      <c r="A166" s="8" t="s">
        <v>117</v>
      </c>
      <c r="B166" s="4">
        <v>50</v>
      </c>
    </row>
    <row r="167" spans="1:2" x14ac:dyDescent="0.25">
      <c r="A167" s="9" t="s">
        <v>14</v>
      </c>
      <c r="B167" s="4">
        <v>40</v>
      </c>
    </row>
    <row r="168" spans="1:2" x14ac:dyDescent="0.25">
      <c r="A168" s="9" t="s">
        <v>142</v>
      </c>
      <c r="B168" s="4">
        <v>7</v>
      </c>
    </row>
    <row r="169" spans="1:2" x14ac:dyDescent="0.25">
      <c r="A169" s="9" t="s">
        <v>496</v>
      </c>
      <c r="B169" s="4">
        <v>3</v>
      </c>
    </row>
    <row r="170" spans="1:2" x14ac:dyDescent="0.25">
      <c r="A170" s="8" t="s">
        <v>479</v>
      </c>
      <c r="B170" s="4">
        <v>150</v>
      </c>
    </row>
    <row r="176" spans="1:2" x14ac:dyDescent="0.25">
      <c r="A176" s="7" t="s">
        <v>478</v>
      </c>
      <c r="B176" t="s">
        <v>480</v>
      </c>
    </row>
    <row r="177" spans="1:2" x14ac:dyDescent="0.25">
      <c r="A177" s="8" t="s">
        <v>205</v>
      </c>
      <c r="B177" s="4">
        <v>50</v>
      </c>
    </row>
    <row r="178" spans="1:2" x14ac:dyDescent="0.25">
      <c r="A178" s="9" t="s">
        <v>485</v>
      </c>
      <c r="B178" s="4">
        <v>27</v>
      </c>
    </row>
    <row r="179" spans="1:2" x14ac:dyDescent="0.25">
      <c r="A179" s="9" t="s">
        <v>486</v>
      </c>
      <c r="B179" s="4">
        <v>18</v>
      </c>
    </row>
    <row r="180" spans="1:2" x14ac:dyDescent="0.25">
      <c r="A180" s="9" t="s">
        <v>487</v>
      </c>
      <c r="B180" s="4">
        <v>5</v>
      </c>
    </row>
    <row r="181" spans="1:2" x14ac:dyDescent="0.25">
      <c r="A181" s="8" t="s">
        <v>18</v>
      </c>
      <c r="B181" s="4">
        <v>50</v>
      </c>
    </row>
    <row r="182" spans="1:2" x14ac:dyDescent="0.25">
      <c r="A182" s="9" t="s">
        <v>485</v>
      </c>
      <c r="B182" s="4">
        <v>30</v>
      </c>
    </row>
    <row r="183" spans="1:2" x14ac:dyDescent="0.25">
      <c r="A183" s="9" t="s">
        <v>486</v>
      </c>
      <c r="B183" s="4">
        <v>15</v>
      </c>
    </row>
    <row r="184" spans="1:2" x14ac:dyDescent="0.25">
      <c r="A184" s="9" t="s">
        <v>487</v>
      </c>
      <c r="B184" s="4">
        <v>5</v>
      </c>
    </row>
    <row r="185" spans="1:2" x14ac:dyDescent="0.25">
      <c r="A185" s="8" t="s">
        <v>117</v>
      </c>
      <c r="B185" s="4">
        <v>50</v>
      </c>
    </row>
    <row r="186" spans="1:2" x14ac:dyDescent="0.25">
      <c r="A186" s="9" t="s">
        <v>485</v>
      </c>
      <c r="B186" s="4">
        <v>21</v>
      </c>
    </row>
    <row r="187" spans="1:2" x14ac:dyDescent="0.25">
      <c r="A187" s="9" t="s">
        <v>486</v>
      </c>
      <c r="B187" s="4">
        <v>19</v>
      </c>
    </row>
    <row r="188" spans="1:2" x14ac:dyDescent="0.25">
      <c r="A188" s="9" t="s">
        <v>487</v>
      </c>
      <c r="B188" s="4">
        <v>10</v>
      </c>
    </row>
    <row r="189" spans="1:2" x14ac:dyDescent="0.25">
      <c r="A189" s="8" t="s">
        <v>479</v>
      </c>
      <c r="B189" s="4">
        <v>150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project_1_mobility_operations_d</vt:lpstr>
      <vt:lpstr>Analysis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Konyefa David Ebimi</cp:lastModifiedBy>
  <dcterms:created xsi:type="dcterms:W3CDTF">2026-09-12T23:03:53Z</dcterms:created>
  <dcterms:modified xsi:type="dcterms:W3CDTF">2026-09-12T23:03:53Z</dcterms:modified>
</cp:coreProperties>
</file>